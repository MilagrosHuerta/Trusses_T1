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14" codeName="{899C9086-67A9-5B14-2C2D-5A8001700F7D}"/>
  <workbookPr codeName="ThisWorkbook" defaultThemeVersion="166925"/>
  <mc:AlternateContent xmlns:mc="http://schemas.openxmlformats.org/markup-compatibility/2006">
    <mc:Choice Requires="x15">
      <x15ac:absPath xmlns:x15ac="http://schemas.microsoft.com/office/spreadsheetml/2010/11/ac" url="C:\AHGM\0. GITHUB\Trusses_T1_Privado\"/>
    </mc:Choice>
  </mc:AlternateContent>
  <xr:revisionPtr revIDLastSave="0" documentId="13_ncr:1_{A73B3AD9-AE0C-4D33-BF09-1D42483BA27F}" xr6:coauthVersionLast="47" xr6:coauthVersionMax="47" xr10:uidLastSave="{00000000-0000-0000-0000-000000000000}"/>
  <bookViews>
    <workbookView xWindow="-93" yWindow="-93" windowWidth="19386" windowHeight="12986" tabRatio="876" activeTab="1" xr2:uid="{F8F00452-99F5-45B6-B06B-74F7B18CC32C}"/>
  </bookViews>
  <sheets>
    <sheet name="INSTRUCCIONES" sheetId="42" r:id="rId1"/>
    <sheet name="PROBLEMA" sheetId="1" r:id="rId2"/>
    <sheet name="OCULTOS" sheetId="2" state="veryHidden" r:id="rId3"/>
    <sheet name="DATOS FIJOS" sheetId="3" r:id="rId4"/>
    <sheet name="RESULTADOS - FTP" sheetId="5" r:id="rId5"/>
    <sheet name="ENLACES" sheetId="6" state="veryHidden" r:id="rId6"/>
    <sheet name="Coeficiente pandeo w" sheetId="30" state="veryHidden" r:id="rId7"/>
  </sheets>
  <definedNames>
    <definedName name="_Abajo" hidden="1">"↓"</definedName>
    <definedName name="_Arriba" hidden="1">"↑"</definedName>
    <definedName name="_Compr" hidden="1">"→ ←"</definedName>
    <definedName name="_Derecha" hidden="1">"→"</definedName>
    <definedName name="_Izquierda" hidden="1">"←"</definedName>
    <definedName name="_NO" hidden="1">OCULTOS!$G$4</definedName>
    <definedName name="_OK" hidden="1">OCULTOS!$G$3</definedName>
    <definedName name="_Tracc" hidden="1">"← →"</definedName>
    <definedName name="_xleta.AND" hidden="1" xlm="1">#NAME?</definedName>
    <definedName name="_xleta.CELL" hidden="1" xlm="1">#NAME?</definedName>
    <definedName name="_xleta.IF" hidden="1" xlm="1">#NAME?</definedName>
    <definedName name="_xleta.MAX" hidden="1" xlm="1">#NAME?</definedName>
    <definedName name="_xleta.MIN" hidden="1" xlm="1">#NAME?</definedName>
    <definedName name="_xleta.N" hidden="1" xlm="1">#NAME?</definedName>
    <definedName name="_xleta.NOT" hidden="1" xlm="1">#NAME?</definedName>
    <definedName name="_xleta.ROUNDUP" hidden="1" xlm="1">#NAME?</definedName>
    <definedName name="_xleta.T" hidden="1" xlm="1">#NAME?</definedName>
    <definedName name="_xleta.VALUE" hidden="1" xlm="1">#NAME?</definedName>
    <definedName name="A_Fijo" hidden="1">OCULTOS!$J$10</definedName>
    <definedName name="acero_1" hidden="1">OCULTOS!$H$17</definedName>
    <definedName name="acero_2" hidden="1">OCULTOS!$H$18</definedName>
    <definedName name="acero_3" hidden="1">OCULTOS!$H$19</definedName>
    <definedName name="Acero_Ale" hidden="1">OCULTOS!$R$24</definedName>
    <definedName name="alfa_" hidden="1">OCULTOS!$B$34</definedName>
    <definedName name="alfa_1" hidden="1">OCULTOS!$G$17</definedName>
    <definedName name="alfa_2" hidden="1">OCULTOS!$G$18</definedName>
    <definedName name="alfa_3" hidden="1">OCULTOS!$G$19</definedName>
    <definedName name="alfa_4" hidden="1">OCULTOS!$G$20</definedName>
    <definedName name="alfa_5" hidden="1">OCULTOS!$G$21</definedName>
    <definedName name="alfa_6" hidden="1">OCULTOS!$G$22</definedName>
    <definedName name="alfa_Ale" hidden="1">OCULTOS!$R$21</definedName>
    <definedName name="alfa_rad" hidden="1">OCULTOS!$A$34</definedName>
    <definedName name="alfa_Ver" hidden="1">OCULTOS!$E$26</definedName>
    <definedName name="Altura_Ver" hidden="1">OCULTOS!$E$23</definedName>
    <definedName name="Ap_1_h_Ale" hidden="1">OCULTOS!$U$17</definedName>
    <definedName name="Ap_1_v_Ale" hidden="1">OCULTOS!$S$17</definedName>
    <definedName name="Ap_2_v_Ale" hidden="1">OCULTOS!$T$17</definedName>
    <definedName name="Ap_Fijo" hidden="1">PROBLEMA!$H$12</definedName>
    <definedName name="Ap_Movil" hidden="1">PROBLEMA!$H$13</definedName>
    <definedName name="Apoyo_A_Fijo" hidden="1">OCULTOS!$J$10</definedName>
    <definedName name="Apoyo_A_Libre" hidden="1">OCULTOS!$L$10</definedName>
    <definedName name="Apoyo_A_Movil" hidden="1">OCULTOS!$K$10</definedName>
    <definedName name="Apoyo_B_Fijo" hidden="1">OCULTOS!$J$11</definedName>
    <definedName name="Apoyo_B_Libre" hidden="1">OCULTOS!$L$11</definedName>
    <definedName name="Apoyo_B_Movil" hidden="1">OCULTOS!$K$11</definedName>
    <definedName name="Apoyo_C_Fijo" hidden="1">OCULTOS!$J$12</definedName>
    <definedName name="Apoyo_C_Libre" hidden="1">OCULTOS!$L$12</definedName>
    <definedName name="Apoyo_C_Movil" hidden="1">OCULTOS!$K$12</definedName>
    <definedName name="Apoyo_D_Fijo" hidden="1">OCULTOS!$J$13</definedName>
    <definedName name="Apoyo_D_Libre" hidden="1">OCULTOS!$L$13</definedName>
    <definedName name="Apoyo_D_Movil" hidden="1">OCULTOS!$K$13</definedName>
    <definedName name="Apoyo_E_Fijo" hidden="1">OCULTOS!$J$14</definedName>
    <definedName name="Apoyo_E_Libre" hidden="1">OCULTOS!$L$14</definedName>
    <definedName name="Apoyo_E_Movil" hidden="1">OCULTOS!$K$14</definedName>
    <definedName name="Area" hidden="1">PROBLEMA!$C$61</definedName>
    <definedName name="Area_d_min_esb" hidden="1">PROBLEMA!$Z$69</definedName>
    <definedName name="_xlnm.Print_Area" localSheetId="0">INSTRUCCIONES!$A$1:$D$26</definedName>
    <definedName name="_xlnm.Print_Area" localSheetId="1">PROBLEMA!$A:$N</definedName>
    <definedName name="_xlnm.Print_Area" localSheetId="4">'RESULTADOS - FTP'!$B:$B</definedName>
    <definedName name="B_AB" hidden="1">PROBLEMA!$E$42</definedName>
    <definedName name="B_AD" hidden="1">PROBLEMA!$E$41</definedName>
    <definedName name="B_BC" hidden="1">PROBLEMA!$E$47</definedName>
    <definedName name="B_BD" hidden="1">PROBLEMA!$E$51</definedName>
    <definedName name="B_BE" hidden="1">PROBLEMA!$E$55</definedName>
    <definedName name="B_CE" hidden="1">PROBLEMA!$E$46</definedName>
    <definedName name="B_DE" hidden="1">PROBLEMA!$E$52</definedName>
    <definedName name="Barra_1" hidden="1">'RESULTADOS - FTP'!$D$15</definedName>
    <definedName name="Barra_2" hidden="1">'RESULTADOS - FTP'!$D$17</definedName>
    <definedName name="Barra_3" hidden="1">'RESULTADOS - FTP'!$D$19</definedName>
    <definedName name="Barra_4" hidden="1">'RESULTADOS - FTP'!$D$21</definedName>
    <definedName name="Barra_5" hidden="1">'RESULTADOS - FTP'!$D$23</definedName>
    <definedName name="Barra_6" hidden="1">'RESULTADOS - FTP'!$D$25</definedName>
    <definedName name="Barra_7" hidden="1">'RESULTADOS - FTP'!$D$27</definedName>
    <definedName name="Coef_w" hidden="1">'Coeficiente pandeo w'!$A:$E</definedName>
    <definedName name="d_" hidden="1">PROBLEMA!$J$12</definedName>
    <definedName name="d_Ale" hidden="1">OCULTOS!$R$22</definedName>
    <definedName name="d_DEF" hidden="1">PROBLEMA!$C$116</definedName>
    <definedName name="D_Fijos" hidden="1">PROBLEMA!$P$4</definedName>
    <definedName name="D_Imprimir" hidden="1">'DATOS FIJOS'!$AI$3</definedName>
    <definedName name="D_L" hidden="1">OCULTOS!$S$23</definedName>
    <definedName name="d_min_esb" hidden="1">PROBLEMA!$M$68</definedName>
    <definedName name="d_min_trac" hidden="1">PROBLEMA!$H$79</definedName>
    <definedName name="d_Ver" hidden="1">OCULTOS!$B$4</definedName>
    <definedName name="Dato_FTP" comment="Primera fila de datos que se quieren exportar a FTP">PROBLEMA!$U$7</definedName>
    <definedName name="Datos_Copiar" hidden="1">'DATOS FIJOS'!$B$3:$AF$3</definedName>
    <definedName name="Descripcion_FTP">PROBLEMA!$U$6</definedName>
    <definedName name="Enunciado" hidden="1">PROBLEMA!$B$2</definedName>
    <definedName name="Enunciado_FTP">Enunciado&amp;'RESULTADOS - FTP'!$C$4</definedName>
    <definedName name="Enunciado_Pandeo_FTP">'RESULTADOS - FTP'!$B$38</definedName>
    <definedName name="Enunciado_Preguntas_FTP">'RESULTADOS - FTP'!$B$2</definedName>
    <definedName name="h_" hidden="1">PROBLEMA!$D$13</definedName>
    <definedName name="h_Ale" hidden="1">OCULTOS!$R$20</definedName>
    <definedName name="h_Ver" hidden="1">OCULTOS!$B$3</definedName>
    <definedName name="IMAGEN" hidden="1">T_D_FIJOS[[#Headers],[Imagen]]</definedName>
    <definedName name="Imagen_FTP">'RESULTADOS - FTP'!$B$1</definedName>
    <definedName name="Imp_OK" hidden="1">'DATOS FIJOS'!$AK$4</definedName>
    <definedName name="Inercia" hidden="1">OCULTOS!$T$23</definedName>
    <definedName name="L_" hidden="1">PROBLEMA!$D$12</definedName>
    <definedName name="L_275" hidden="1">'Coeficiente pandeo w'!$A$2:$E$237</definedName>
    <definedName name="L_AB_2" hidden="1">OCULTOS!$E$24</definedName>
    <definedName name="L_AB_Ver" hidden="1">OCULTOS!$E$16</definedName>
    <definedName name="L_AD_Ver" hidden="1">OCULTOS!$E$19</definedName>
    <definedName name="L_Ale" hidden="1">OCULTOS!$R$19</definedName>
    <definedName name="L_BE_Ver" hidden="1">OCULTOS!$E$21</definedName>
    <definedName name="L_CB_Ver" hidden="1">OCULTOS!$E$17</definedName>
    <definedName name="L_CE_Ver" hidden="1">OCULTOS!$E$22</definedName>
    <definedName name="L_DB_Ver" hidden="1">OCULTOS!$E$20</definedName>
    <definedName name="L_DE_Ver" hidden="1">OCULTOS!$E$18</definedName>
    <definedName name="L_Diagonal" hidden="1">OCULTOS!$R$18</definedName>
    <definedName name="L_Ver" hidden="1">OCULTOS!$B$2</definedName>
    <definedName name="Lista_Datos" hidden="1">T_D_FIJOS[NOMBRE]</definedName>
    <definedName name="Lista_Imagenes" hidden="1">T_D_IMAGENES[NOMBRE]</definedName>
    <definedName name="Longitud_2_Ver" hidden="1">OCULTOS!$E$24</definedName>
    <definedName name="M_Apoyo_Fijo" hidden="1">OCULTOS!$Z$9</definedName>
    <definedName name="Mostrar_Mensaje" hidden="1">INSTRUCCIONES!$A$1</definedName>
    <definedName name="Mostrar_Msg" hidden="1">6</definedName>
    <definedName name="Multiplo_Img" hidden="1">'DATOS FIJOS'!$AI$1</definedName>
    <definedName name="N_FIGURA" hidden="1">PROBLEMA!$O$1</definedName>
    <definedName name="N_Hoja_Datos" comment="El nombre de la HOJA de DATOS FIJOS por si alguien lo cambia, para la MACRO de IMAGENES" hidden="1">MID(N_Ruta_Datos,FIND("]",N_Ruta_Datos,1)+1,100)</definedName>
    <definedName name="N_Hoja_Pb" hidden="1">MID(N_Ruta_Pb,FIND("]",N_Ruta_Pb,1)+1,100)</definedName>
    <definedName name="N_Ini_D_FIjos" hidden="1">PROBLEMA!$S$8</definedName>
    <definedName name="N_Pb_Ale" hidden="1">PROBLEMA!$P$5</definedName>
    <definedName name="N_Preg_D_Fijos" hidden="1">'DATOS FIJOS'!$A$1</definedName>
    <definedName name="N_Preg_FTP">PROBLEMA!$Q$7</definedName>
    <definedName name="N_Preg_FTP_Inicial" hidden="1">PROBLEMA!$P$7</definedName>
    <definedName name="N_Ruta_Datos" hidden="1">CELL("filename",T_D_FIJOS[#All])</definedName>
    <definedName name="N_Ruta_Pb" hidden="1">CELL("filename",Enunciado)</definedName>
    <definedName name="Nombre_Archivo" hidden="1">PROBLEMA!$P$1</definedName>
    <definedName name="Nombre_Datos" hidden="1">PROBLEMA!$P$6</definedName>
    <definedName name="Nombre_FTP">PROBLEMA!$Q$3</definedName>
    <definedName name="Nombre_Pb" hidden="1">PROBLEMA!$B$1</definedName>
    <definedName name="Nombre_Variable" hidden="1">'DATOS FIJOS'!$B$3</definedName>
    <definedName name="P_horizontales" hidden="1">OCULTOS!$R$31:$R$35</definedName>
    <definedName name="P_verticales" hidden="1">OCULTOS!$R$26:$R$30</definedName>
    <definedName name="Pag_Final" hidden="1">PROBLEMA!$K$1</definedName>
    <definedName name="Ph_A" hidden="1">OCULTOS!$R$31</definedName>
    <definedName name="Ph_A_Ver" hidden="1">OCULTOS!$G$10</definedName>
    <definedName name="Ph_B" hidden="1">OCULTOS!$R$32</definedName>
    <definedName name="Ph_B_Ver" hidden="1">OCULTOS!$G$11</definedName>
    <definedName name="Ph_C" hidden="1">OCULTOS!$R$33</definedName>
    <definedName name="Ph_C_Ver" hidden="1">OCULTOS!$G$12</definedName>
    <definedName name="Ph_D" hidden="1">OCULTOS!$R$34</definedName>
    <definedName name="Ph_D_Ver" hidden="1">OCULTOS!$G$13</definedName>
    <definedName name="Ph_E" hidden="1">OCULTOS!$R$35</definedName>
    <definedName name="Ph_E_Ver" hidden="1">OCULTOS!$G$14</definedName>
    <definedName name="Pos_1" hidden="1">OCULTOS!$E$29</definedName>
    <definedName name="Pos_2" hidden="1">OCULTOS!$E$30</definedName>
    <definedName name="Pos_3" hidden="1">OCULTOS!$E$31</definedName>
    <definedName name="Pos_4" hidden="1">OCULTOS!$E$32</definedName>
    <definedName name="Pos_5" hidden="1">OCULTOS!$E$33</definedName>
    <definedName name="Preg_1" hidden="1">PROBLEMA!$B$4</definedName>
    <definedName name="Preg_2" hidden="1">PROBLEMA!$B$5</definedName>
    <definedName name="Preg_3" hidden="1">PROBLEMA!$B$6</definedName>
    <definedName name="Preg_4" hidden="1">PROBLEMA!$B$7</definedName>
    <definedName name="Pregunta_1_FTP">CONCATENATE('RESULTADOS - FTP'!$B$4,'RESULTADOS - FTP'!$C$4,'RESULTADOS - FTP'!$B$5,'RESULTADOS - FTP'!$C$5,'RESULTADOS - FTP'!$B$6,'RESULTADOS - FTP'!$C$6,'RESULTADOS - FTP'!$B$7,'RESULTADOS - FTP'!$C$7,'RESULTADOS - FTP'!$B$8,'RESULTADOS - FTP'!$C$8,'RESULTADOS - FTP'!$B$9,'RESULTADOS - FTP'!$C$9,'RESULTADOS - FTP'!$B$10,'RESULTADOS - FTP'!$C$10,'RESULTADOS - FTP'!$B$11,'RESULTADOS - FTP'!$C$11,'RESULTADOS - FTP'!$B$12,'RESULTADOS - FTP'!$C$12)</definedName>
    <definedName name="Pregunta_2_FTP">CONCATENATE('RESULTADOS - FTP'!$B$13,'RESULTADOS - FTP'!$C$13,'RESULTADOS - FTP'!$B$14,'RESULTADOS - FTP'!$C$14,'RESULTADOS - FTP'!$B$15,'RESULTADOS - FTP'!$C$15,'RESULTADOS - FTP'!$B$16,'RESULTADOS - FTP'!$C$16,'RESULTADOS - FTP'!$B$17,'RESULTADOS - FTP'!$C$17,'RESULTADOS - FTP'!$B$18,'RESULTADOS - FTP'!$C$18,'RESULTADOS - FTP'!$B$19,'RESULTADOS - FTP'!$C$19,'RESULTADOS - FTP'!$B$20,'RESULTADOS - FTP'!$C$20,'RESULTADOS - FTP'!$B$21,'RESULTADOS - FTP'!$C$21,'RESULTADOS - FTP'!$B$22,'RESULTADOS - FTP'!$C$22,'RESULTADOS - FTP'!$B$23,'RESULTADOS - FTP'!$C$23,'RESULTADOS - FTP'!$B$24,'RESULTADOS - FTP'!$C$24,'RESULTADOS - FTP'!$B$25,'RESULTADOS - FTP'!$C$25,'RESULTADOS - FTP'!$B$26,'RESULTADOS - FTP'!$C$26,'RESULTADOS - FTP'!$B$27,'RESULTADOS - FTP'!$C$27)</definedName>
    <definedName name="Pregunta_3_FTP">CONCATENATE('RESULTADOS - FTP'!$B$28,'RESULTADOS - FTP'!$C$28,'RESULTADOS - FTP'!$B$29,'RESULTADOS - FTP'!$C$29)</definedName>
    <definedName name="Pregunta_4_FTP">CONCATENATE('RESULTADOS - FTP'!$B$30,'RESULTADOS - FTP'!$C$30,'RESULTADOS - FTP'!$B$31,'RESULTADOS - FTP'!$C$31,'RESULTADOS - FTP'!$B$32,'RESULTADOS - FTP'!$C$32,'RESULTADOS - FTP'!$B$33,'RESULTADOS - FTP'!$C$33,'RESULTADOS - FTP'!$B$34,'RESULTADOS - FTP'!$C$34,'RESULTADOS - FTP'!$B$35,'RESULTADOS - FTP'!$C$35,'RESULTADOS - FTP'!$B$36,'RESULTADOS - FTP'!$C$36)</definedName>
    <definedName name="Pregunta_Pandeo_FTP">'RESULTADOS - FTP'!$B$39</definedName>
    <definedName name="Pv_A" hidden="1">OCULTOS!$R$26</definedName>
    <definedName name="Pv_A_Ver" hidden="1">OCULTOS!$F$10</definedName>
    <definedName name="Pv_B" hidden="1">OCULTOS!$R$27</definedName>
    <definedName name="Pv_B_Ver" hidden="1">OCULTOS!$F$11</definedName>
    <definedName name="Pv_C" hidden="1">OCULTOS!$R$28</definedName>
    <definedName name="Pv_C_Ver" hidden="1">OCULTOS!$F$12</definedName>
    <definedName name="Pv_D" hidden="1">OCULTOS!$R$29</definedName>
    <definedName name="Pv_D_Ver" hidden="1">OCULTOS!$F$13</definedName>
    <definedName name="Pv_E" hidden="1">OCULTOS!$R$30</definedName>
    <definedName name="Pv_E_Ver" hidden="1">OCULTOS!$F$14</definedName>
    <definedName name="R_Fijo" hidden="1">OCULTOS!$J$15</definedName>
    <definedName name="R_giro" hidden="1">OCULTOS!$U$23</definedName>
    <definedName name="R_Movil" hidden="1">OCULTOS!$Y$9</definedName>
    <definedName name="Resultados" hidden="1">'DATOS FIJOS'!$AH$3</definedName>
    <definedName name="Rh" hidden="1">OCULTOS!$W$15</definedName>
    <definedName name="Rh_A" hidden="1">OCULTOS!$W$10</definedName>
    <definedName name="Rh_B" hidden="1">OCULTOS!$W$11</definedName>
    <definedName name="Rh_C" hidden="1">OCULTOS!$W$12</definedName>
    <definedName name="Rh_D" hidden="1">OCULTOS!$W$13</definedName>
    <definedName name="Rh_E" hidden="1">OCULTOS!$W$14</definedName>
    <definedName name="Rv_A" hidden="1">OCULTOS!$R$10</definedName>
    <definedName name="Rv_B" hidden="1">OCULTOS!$S$11</definedName>
    <definedName name="Rv_C" hidden="1">OCULTOS!$T$12</definedName>
    <definedName name="Rv_D" hidden="1">OCULTOS!$U$13</definedName>
    <definedName name="Rv_E" hidden="1">OCULTOS!$V$14</definedName>
    <definedName name="s_" hidden="1">PROBLEMA!$J$60</definedName>
    <definedName name="s_DEF" hidden="1">MAX(PROBLEMA!$T$18:$T$25)</definedName>
    <definedName name="Salto" hidden="1">PROBLEMA!$P$8</definedName>
    <definedName name="SALTOS_FTP_" hidden="1">OCULTOS!$F$3:$F$4</definedName>
    <definedName name="SI_NO" hidden="1">OCULTOS!$G$3:$G$4</definedName>
    <definedName name="Solu_ini" hidden="1">'DATOS FIJOS'!$V$3</definedName>
    <definedName name="SUB_CARPETA" hidden="1">PROBLEMA!$Q$1</definedName>
    <definedName name="T_AB" hidden="1">PROBLEMA!$M$40</definedName>
    <definedName name="T_AB_C" hidden="1">OCULTOS!$B$16</definedName>
    <definedName name="T_AB_T" hidden="1">OCULTOS!$A$16</definedName>
    <definedName name="T_AD" hidden="1">PROBLEMA!$M$39</definedName>
    <definedName name="T_AD_C" hidden="1">OCULTOS!$B$19</definedName>
    <definedName name="T_AD_T" hidden="1">OCULTOS!$A$19</definedName>
    <definedName name="T_BE" hidden="1">PROBLEMA!$M$54</definedName>
    <definedName name="T_BE_C" hidden="1">OCULTOS!$B$21</definedName>
    <definedName name="T_BE_T" hidden="1">OCULTOS!$A$21</definedName>
    <definedName name="T_CB" hidden="1">PROBLEMA!$M$45</definedName>
    <definedName name="T_CB_C" hidden="1">OCULTOS!$B$17</definedName>
    <definedName name="T_CB_T" hidden="1">OCULTOS!$A$17</definedName>
    <definedName name="T_CE" hidden="1">PROBLEMA!$M$44</definedName>
    <definedName name="T_CE_C" hidden="1">OCULTOS!$B$22</definedName>
    <definedName name="T_CE_T" hidden="1">OCULTOS!$A$22</definedName>
    <definedName name="T_DB" hidden="1">PROBLEMA!$M$49</definedName>
    <definedName name="T_DB_C" hidden="1">OCULTOS!$B$20</definedName>
    <definedName name="T_DB_T" hidden="1">OCULTOS!$A$20</definedName>
    <definedName name="T_DE" hidden="1">PROBLEMA!$M$50</definedName>
    <definedName name="T_DE_C" hidden="1">OCULTOS!$B$18</definedName>
    <definedName name="T_DE_T" hidden="1">OCULTOS!$A$18</definedName>
    <definedName name="Tab" comment="Tabulador HTLM" hidden="1">"&amp;emsp;"</definedName>
    <definedName name="Tab_3" hidden="1">REPT("&amp;emsp;",3)</definedName>
    <definedName name="Tab_8" hidden="1">REPT("&amp;emsp;",8)</definedName>
    <definedName name="Tension_d_min_esb" hidden="1">PROBLEMA!$Z$70</definedName>
    <definedName name="Tipo_Ale" hidden="1">OCULTOS!$R$25</definedName>
    <definedName name="Tipo_Curva" hidden="1">OCULTOS!$U$25</definedName>
    <definedName name="Tipo_Seccion_Ale" hidden="1">OCULTOS!$R$23</definedName>
    <definedName name="_xlnm.Print_Titles" localSheetId="6">'Coeficiente pandeo w'!$A:$A,'Coeficiente pandeo w'!$1:$6</definedName>
    <definedName name="_xlnm.Print_Titles" localSheetId="1">PROBLEMA!$1:$1</definedName>
    <definedName name="Todo" hidden="1">PROBLEMA!$U$47</definedName>
    <definedName name="URL_ALTO" comment="ALTO PARA URL IMAGEN EN FTP" hidden="1">""" height="""</definedName>
    <definedName name="URL_F" comment="FIN DE LA URL PARA IMAGEN FTP" hidden="1">"""&gt;"</definedName>
    <definedName name="URL_I" comment="URL INICIAL PARA LA IMAGEN EN FTP" hidden="1">"&lt;img src="""</definedName>
    <definedName name="URL_W" comment="ANCHO DE LA IMAGEN PARA URL FTP" hidden="1">""" width="""</definedName>
    <definedName name="V_Excel" hidden="1">"V2021 o POSTERIOR"</definedName>
    <definedName name="Ver_Datos" hidden="1">PROBLEMA!$P$2</definedName>
    <definedName name="Ver_Resultados" hidden="1">PROBLEMA!$P$3</definedName>
    <definedName name="Version" hidden="1">'RESULTADOS - FTP'!$A$4</definedName>
    <definedName name="X_A" hidden="1">OCULTOS!$A$29</definedName>
    <definedName name="X_B" hidden="1">OCULTOS!$A$30</definedName>
    <definedName name="X_C" hidden="1">OCULTOS!$A$31</definedName>
    <definedName name="X_D" hidden="1">OCULTOS!$A$32</definedName>
    <definedName name="X_E" hidden="1">OCULTOS!$A$33</definedName>
    <definedName name="Y_A" hidden="1">OCULTOS!$B$29</definedName>
    <definedName name="Y_B" hidden="1">OCULTOS!$B$30</definedName>
    <definedName name="Y_C" hidden="1">OCULTOS!$B$31</definedName>
    <definedName name="Y_D" hidden="1">OCULTOS!$B$32</definedName>
    <definedName name="Y_E" hidden="1">OCULTOS!$B$33</definedName>
    <definedName name="λ_esbeltez" hidden="1">PROBLEMA!$U$68</definedName>
  </definedNames>
  <calcPr calcId="191029" iterate="1" iterateCount="100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8" i="3" l="1"/>
  <c r="AI8" i="3"/>
  <c r="A7" i="3"/>
  <c r="AI7" i="3"/>
  <c r="A6" i="3"/>
  <c r="AI6" i="3"/>
  <c r="G20" i="2"/>
  <c r="Y72" i="1"/>
  <c r="Y73" i="1"/>
  <c r="Y74" i="1"/>
  <c r="Y75" i="1"/>
  <c r="Y76" i="1"/>
  <c r="Y77" i="1"/>
  <c r="Y71" i="1"/>
  <c r="B1" i="42"/>
  <c r="A5" i="3"/>
  <c r="AI5" i="3"/>
  <c r="AH3" i="3"/>
  <c r="AG3" i="3"/>
  <c r="Y17" i="2"/>
  <c r="S26" i="2"/>
  <c r="S27" i="2"/>
  <c r="U27" i="2"/>
  <c r="U28" i="2" s="1"/>
  <c r="U29" i="2" s="1"/>
  <c r="U30" i="2" s="1"/>
  <c r="U31" i="2" s="1"/>
  <c r="U32" i="2" s="1"/>
  <c r="U33" i="2" s="1"/>
  <c r="U34" i="2" s="1"/>
  <c r="U35" i="2" s="1"/>
  <c r="S28" i="2"/>
  <c r="S29" i="2"/>
  <c r="S30" i="2"/>
  <c r="S31" i="2"/>
  <c r="S32" i="2"/>
  <c r="S33" i="2"/>
  <c r="S34" i="2"/>
  <c r="S35" i="2"/>
  <c r="R1" i="1"/>
  <c r="AM4" i="3"/>
  <c r="A1" i="3" l="1"/>
  <c r="AI3" i="3"/>
  <c r="A3" i="5"/>
  <c r="B13" i="5"/>
  <c r="B4" i="5"/>
  <c r="C2" i="6"/>
  <c r="F2" i="6"/>
  <c r="G22" i="2" l="1"/>
  <c r="G21" i="2"/>
  <c r="O14" i="2" l="1"/>
  <c r="O13" i="2"/>
  <c r="O12" i="2"/>
  <c r="O11" i="2"/>
  <c r="O10" i="2"/>
  <c r="A237" i="30" l="1"/>
  <c r="A236" i="30"/>
  <c r="A235" i="30"/>
  <c r="A234" i="30"/>
  <c r="A233" i="30"/>
  <c r="A232" i="30"/>
  <c r="A231" i="30"/>
  <c r="A230" i="30"/>
  <c r="A229" i="30"/>
  <c r="A228" i="30"/>
  <c r="A227" i="30"/>
  <c r="A226" i="30"/>
  <c r="A225" i="30"/>
  <c r="A224" i="30"/>
  <c r="A223" i="30"/>
  <c r="A222" i="30"/>
  <c r="A221" i="30"/>
  <c r="A220" i="30"/>
  <c r="A219" i="30"/>
  <c r="A218" i="30"/>
  <c r="A217" i="30"/>
  <c r="A216" i="30"/>
  <c r="A215" i="30"/>
  <c r="A214" i="30"/>
  <c r="A213" i="30"/>
  <c r="A212" i="30"/>
  <c r="A211" i="30"/>
  <c r="A210" i="30"/>
  <c r="A209" i="30"/>
  <c r="A208" i="30"/>
  <c r="A207" i="30"/>
  <c r="A206" i="30"/>
  <c r="A205" i="30"/>
  <c r="A204" i="30"/>
  <c r="A203" i="30"/>
  <c r="A202" i="30"/>
  <c r="A201" i="30"/>
  <c r="A200" i="30"/>
  <c r="A199" i="30"/>
  <c r="A198" i="30"/>
  <c r="A197" i="30"/>
  <c r="A196" i="30"/>
  <c r="A195" i="30"/>
  <c r="A194" i="30"/>
  <c r="A193" i="30"/>
  <c r="A192" i="30"/>
  <c r="A191" i="30"/>
  <c r="A190" i="30"/>
  <c r="A189" i="30"/>
  <c r="A188" i="30"/>
  <c r="A187" i="30"/>
  <c r="A186" i="30"/>
  <c r="A185" i="30"/>
  <c r="A184" i="30"/>
  <c r="A183" i="30"/>
  <c r="A182" i="30"/>
  <c r="A181" i="30"/>
  <c r="A180" i="30"/>
  <c r="A179" i="30"/>
  <c r="A178" i="30"/>
  <c r="A177" i="30"/>
  <c r="A176" i="30"/>
  <c r="A175" i="30"/>
  <c r="A174" i="30"/>
  <c r="A173" i="30"/>
  <c r="A172" i="30"/>
  <c r="A171" i="30"/>
  <c r="A170" i="30"/>
  <c r="A169" i="30"/>
  <c r="A168" i="30"/>
  <c r="A167" i="30"/>
  <c r="A166" i="30"/>
  <c r="A165" i="30"/>
  <c r="A164" i="30"/>
  <c r="A163" i="30"/>
  <c r="A162" i="30"/>
  <c r="A161" i="30"/>
  <c r="A160" i="30"/>
  <c r="A159" i="30"/>
  <c r="A158" i="30"/>
  <c r="A157" i="30"/>
  <c r="A156" i="30"/>
  <c r="A155" i="30"/>
  <c r="A154" i="30"/>
  <c r="A153" i="30"/>
  <c r="A152" i="30"/>
  <c r="A151" i="30"/>
  <c r="A150" i="30"/>
  <c r="A149" i="30"/>
  <c r="A148" i="30"/>
  <c r="A147" i="30"/>
  <c r="A146" i="30"/>
  <c r="A145" i="30"/>
  <c r="A144" i="30"/>
  <c r="A143" i="30"/>
  <c r="A142" i="30"/>
  <c r="A141" i="30"/>
  <c r="A140" i="30"/>
  <c r="A139" i="30"/>
  <c r="A138" i="30"/>
  <c r="A137" i="30"/>
  <c r="A136" i="30"/>
  <c r="A135" i="30"/>
  <c r="A134" i="30"/>
  <c r="A133" i="30"/>
  <c r="A132" i="30"/>
  <c r="A131" i="30"/>
  <c r="A130" i="30"/>
  <c r="A129" i="30"/>
  <c r="A128" i="30"/>
  <c r="A127" i="30"/>
  <c r="A126" i="30"/>
  <c r="A125" i="30"/>
  <c r="A124" i="30"/>
  <c r="A123" i="30"/>
  <c r="A122" i="30"/>
  <c r="A121" i="30"/>
  <c r="A120" i="30"/>
  <c r="A119" i="30"/>
  <c r="A118" i="30"/>
  <c r="A117" i="30"/>
  <c r="A116" i="30"/>
  <c r="A115" i="30"/>
  <c r="A114" i="30"/>
  <c r="A113" i="30"/>
  <c r="A112" i="30"/>
  <c r="A111" i="30"/>
  <c r="A110" i="30"/>
  <c r="A109" i="30"/>
  <c r="A108" i="30"/>
  <c r="A107" i="30"/>
  <c r="A106" i="30"/>
  <c r="A105" i="30"/>
  <c r="A104" i="30"/>
  <c r="A103" i="30"/>
  <c r="A102" i="30"/>
  <c r="A101" i="30"/>
  <c r="A100" i="30"/>
  <c r="A99" i="30"/>
  <c r="A98" i="30"/>
  <c r="A97" i="30"/>
  <c r="A96" i="30"/>
  <c r="A95" i="30"/>
  <c r="A94" i="30"/>
  <c r="A93" i="30"/>
  <c r="A92" i="30"/>
  <c r="A91" i="30"/>
  <c r="A90" i="30"/>
  <c r="A89" i="30"/>
  <c r="A88" i="30"/>
  <c r="A87" i="30"/>
  <c r="A86" i="30"/>
  <c r="A85" i="30"/>
  <c r="A84" i="30"/>
  <c r="A83" i="30"/>
  <c r="A82" i="30"/>
  <c r="A81" i="30"/>
  <c r="A80" i="30"/>
  <c r="A79" i="30"/>
  <c r="A78" i="30"/>
  <c r="A77" i="30"/>
  <c r="A76" i="30"/>
  <c r="A75" i="30"/>
  <c r="A74" i="30"/>
  <c r="A73" i="30"/>
  <c r="A72" i="30"/>
  <c r="A71" i="30"/>
  <c r="A70" i="30"/>
  <c r="A69" i="30"/>
  <c r="A68" i="30"/>
  <c r="A67" i="30"/>
  <c r="A66" i="30"/>
  <c r="A65" i="30"/>
  <c r="A64" i="30"/>
  <c r="A63" i="30"/>
  <c r="A62" i="30"/>
  <c r="A61" i="30"/>
  <c r="A60" i="30"/>
  <c r="A59" i="30"/>
  <c r="A58" i="30"/>
  <c r="A57" i="30"/>
  <c r="A56" i="30"/>
  <c r="A55" i="30"/>
  <c r="A54" i="30"/>
  <c r="A53" i="30"/>
  <c r="A52" i="30"/>
  <c r="A51" i="30"/>
  <c r="A50" i="30"/>
  <c r="A49" i="30"/>
  <c r="A48" i="30"/>
  <c r="A47" i="30"/>
  <c r="A46" i="30"/>
  <c r="A45" i="30"/>
  <c r="A44" i="30"/>
  <c r="A43" i="30"/>
  <c r="A42" i="30"/>
  <c r="A41" i="30"/>
  <c r="A40" i="30"/>
  <c r="A39" i="30"/>
  <c r="A38" i="30"/>
  <c r="A37" i="30"/>
  <c r="A36" i="30"/>
  <c r="A35" i="30"/>
  <c r="A34" i="30"/>
  <c r="A33" i="30"/>
  <c r="A32" i="30"/>
  <c r="A31" i="30"/>
  <c r="A30" i="30"/>
  <c r="A29" i="30"/>
  <c r="A28" i="30"/>
  <c r="A27" i="30"/>
  <c r="A26" i="30"/>
  <c r="A25" i="30"/>
  <c r="A24" i="30"/>
  <c r="A23" i="30"/>
  <c r="A22" i="30"/>
  <c r="A21" i="30"/>
  <c r="A20" i="30"/>
  <c r="A19" i="30"/>
  <c r="A18" i="30"/>
  <c r="A17" i="30"/>
  <c r="A16" i="30"/>
  <c r="A15" i="30"/>
  <c r="A14" i="30"/>
  <c r="A13" i="30"/>
  <c r="A12" i="30"/>
  <c r="A11" i="30"/>
  <c r="A10" i="30"/>
  <c r="A9" i="30"/>
  <c r="A8" i="30"/>
  <c r="A7" i="30"/>
  <c r="B1" i="5"/>
  <c r="A2" i="5"/>
  <c r="X10" i="2"/>
  <c r="R9" i="2"/>
  <c r="P7" i="2"/>
  <c r="Q7" i="2" s="1"/>
  <c r="R7" i="2" s="1"/>
  <c r="S7" i="2" s="1"/>
  <c r="T7" i="2" s="1"/>
  <c r="U7" i="2" s="1"/>
  <c r="V7" i="2" s="1"/>
  <c r="W7" i="2" s="1"/>
  <c r="B30" i="2"/>
  <c r="B31" i="2" s="1"/>
  <c r="B37" i="1"/>
  <c r="B27" i="1" l="1"/>
  <c r="Q7" i="1" l="1" a="1"/>
  <c r="Q7" i="1" s="1"/>
  <c r="U7" i="1" l="1" a="1"/>
  <c r="U7" i="1" s="1"/>
  <c r="E3" i="3" l="1"/>
  <c r="J12" i="1"/>
  <c r="Q2" i="1"/>
  <c r="D12" i="1" l="1"/>
  <c r="C3" i="3"/>
  <c r="E80" i="1"/>
  <c r="T66" i="1"/>
  <c r="S23" i="2"/>
  <c r="M67" i="1"/>
  <c r="H61" i="1"/>
  <c r="F3" i="3"/>
  <c r="U25" i="2"/>
  <c r="K3" i="3"/>
  <c r="B34" i="2"/>
  <c r="D13" i="1"/>
  <c r="D3" i="3"/>
  <c r="C79" i="1"/>
  <c r="F1" i="30"/>
  <c r="B1" i="30"/>
  <c r="B4" i="30" s="1"/>
  <c r="J3" i="3"/>
  <c r="L17" i="2"/>
  <c r="K17" i="2"/>
  <c r="B4" i="2"/>
  <c r="D4" i="2" s="1"/>
  <c r="L18" i="2"/>
  <c r="C61" i="1" s="1"/>
  <c r="K18" i="2"/>
  <c r="T23" i="2" s="1"/>
  <c r="X17" i="2"/>
  <c r="G3" i="3"/>
  <c r="V1" i="3" s="1"/>
  <c r="W18" i="2" l="1"/>
  <c r="U23" i="2"/>
  <c r="F76" i="1"/>
  <c r="A30" i="2"/>
  <c r="B2" i="2"/>
  <c r="D2" i="2" s="1"/>
  <c r="E17" i="2"/>
  <c r="C64" i="1"/>
  <c r="F74" i="1"/>
  <c r="A31" i="2"/>
  <c r="F72" i="1"/>
  <c r="E16" i="2"/>
  <c r="E24" i="2" s="1"/>
  <c r="E18" i="2"/>
  <c r="A32" i="2"/>
  <c r="B7" i="1"/>
  <c r="B65" i="1"/>
  <c r="B6" i="1"/>
  <c r="A34" i="2"/>
  <c r="E26" i="2"/>
  <c r="E23" i="2"/>
  <c r="B3" i="2"/>
  <c r="D3" i="2" s="1"/>
  <c r="B32" i="2"/>
  <c r="B33" i="2" s="1"/>
  <c r="B42" i="30"/>
  <c r="B168" i="30"/>
  <c r="B185" i="30"/>
  <c r="B44" i="30"/>
  <c r="B50" i="30"/>
  <c r="B58" i="30"/>
  <c r="B162" i="30"/>
  <c r="B106" i="30"/>
  <c r="B204" i="30"/>
  <c r="B137" i="30"/>
  <c r="B107" i="30"/>
  <c r="B221" i="30"/>
  <c r="B86" i="30"/>
  <c r="B72" i="30"/>
  <c r="B214" i="30"/>
  <c r="B151" i="30"/>
  <c r="B177" i="30"/>
  <c r="B147" i="30"/>
  <c r="B150" i="30"/>
  <c r="B51" i="30"/>
  <c r="B124" i="30"/>
  <c r="B46" i="30"/>
  <c r="B56" i="30"/>
  <c r="B205" i="30"/>
  <c r="B32" i="30"/>
  <c r="B134" i="30"/>
  <c r="B223" i="30"/>
  <c r="B21" i="30"/>
  <c r="B35" i="30"/>
  <c r="B210" i="30"/>
  <c r="B11" i="30"/>
  <c r="B55" i="30"/>
  <c r="B79" i="30"/>
  <c r="B74" i="30"/>
  <c r="B169" i="30"/>
  <c r="B115" i="30"/>
  <c r="B37" i="30"/>
  <c r="B171" i="30"/>
  <c r="B3" i="30"/>
  <c r="B49" i="30"/>
  <c r="B139" i="30"/>
  <c r="B155" i="30"/>
  <c r="B121" i="30"/>
  <c r="B207" i="30"/>
  <c r="B194" i="30"/>
  <c r="B111" i="30"/>
  <c r="B164" i="30"/>
  <c r="B232" i="30"/>
  <c r="B14" i="30"/>
  <c r="B38" i="30"/>
  <c r="B129" i="30"/>
  <c r="B206" i="30"/>
  <c r="B30" i="30"/>
  <c r="B215" i="30"/>
  <c r="B160" i="30"/>
  <c r="B87" i="30"/>
  <c r="B78" i="30"/>
  <c r="B145" i="30"/>
  <c r="B96" i="30"/>
  <c r="B23" i="30"/>
  <c r="B229" i="30"/>
  <c r="B77" i="30"/>
  <c r="B41" i="30"/>
  <c r="B101" i="30"/>
  <c r="B68" i="30"/>
  <c r="B211" i="30"/>
  <c r="B63" i="30"/>
  <c r="B128" i="30"/>
  <c r="B142" i="30"/>
  <c r="B144" i="30"/>
  <c r="B149" i="30"/>
  <c r="B76" i="30"/>
  <c r="B161" i="30"/>
  <c r="B40" i="30"/>
  <c r="B227" i="30"/>
  <c r="B208" i="30"/>
  <c r="B82" i="30"/>
  <c r="B10" i="30"/>
  <c r="B148" i="30"/>
  <c r="B47" i="30"/>
  <c r="B119" i="30"/>
  <c r="B8" i="30"/>
  <c r="B156" i="30"/>
  <c r="B198" i="30"/>
  <c r="B98" i="30"/>
  <c r="B163" i="30"/>
  <c r="B18" i="30"/>
  <c r="B28" i="30"/>
  <c r="B43" i="30"/>
  <c r="B48" i="30"/>
  <c r="B54" i="30"/>
  <c r="B64" i="30"/>
  <c r="B88" i="30"/>
  <c r="B225" i="30"/>
  <c r="B165" i="30"/>
  <c r="B132" i="30"/>
  <c r="B190" i="30"/>
  <c r="B104" i="30"/>
  <c r="B197" i="30"/>
  <c r="B200" i="30"/>
  <c r="B216" i="30"/>
  <c r="B39" i="30"/>
  <c r="B159" i="30"/>
  <c r="B97" i="30"/>
  <c r="B152" i="30"/>
  <c r="B52" i="30"/>
  <c r="B138" i="30"/>
  <c r="B123" i="30"/>
  <c r="B218" i="30"/>
  <c r="B174" i="30"/>
  <c r="B201" i="30"/>
  <c r="B34" i="30"/>
  <c r="B182" i="30"/>
  <c r="B178" i="30"/>
  <c r="B9" i="30"/>
  <c r="B7" i="30"/>
  <c r="B122" i="30"/>
  <c r="B195" i="30"/>
  <c r="B175" i="30"/>
  <c r="B230" i="30"/>
  <c r="B84" i="30"/>
  <c r="B217" i="30"/>
  <c r="B29" i="30"/>
  <c r="B166" i="30"/>
  <c r="B143" i="30"/>
  <c r="B127" i="30"/>
  <c r="B118" i="30"/>
  <c r="B112" i="30"/>
  <c r="B17" i="30"/>
  <c r="B90" i="30"/>
  <c r="B25" i="30"/>
  <c r="B117" i="30"/>
  <c r="B202" i="30"/>
  <c r="B184" i="30"/>
  <c r="B153" i="30"/>
  <c r="B176" i="30"/>
  <c r="B15" i="30"/>
  <c r="B22" i="30"/>
  <c r="B219" i="30"/>
  <c r="B133" i="30"/>
  <c r="B75" i="30"/>
  <c r="B95" i="30"/>
  <c r="B12" i="30"/>
  <c r="B45" i="30"/>
  <c r="B60" i="30"/>
  <c r="B222" i="30"/>
  <c r="B237" i="30"/>
  <c r="B228" i="30"/>
  <c r="B24" i="30"/>
  <c r="B69" i="30"/>
  <c r="B220" i="30"/>
  <c r="B31" i="30"/>
  <c r="B135" i="30"/>
  <c r="B102" i="30"/>
  <c r="B212" i="30"/>
  <c r="B94" i="30"/>
  <c r="B13" i="30"/>
  <c r="B172" i="30"/>
  <c r="B187" i="30"/>
  <c r="B157" i="30"/>
  <c r="B131" i="30"/>
  <c r="B71" i="30"/>
  <c r="B89" i="30"/>
  <c r="B180" i="30"/>
  <c r="B103" i="30"/>
  <c r="B67" i="30"/>
  <c r="B235" i="30"/>
  <c r="B234" i="30"/>
  <c r="B20" i="30"/>
  <c r="B233" i="30"/>
  <c r="B193" i="30"/>
  <c r="B173" i="30"/>
  <c r="B203" i="30"/>
  <c r="B53" i="30"/>
  <c r="B99" i="30"/>
  <c r="B183" i="30"/>
  <c r="B209" i="30"/>
  <c r="B33" i="30"/>
  <c r="B27" i="30"/>
  <c r="B226" i="30"/>
  <c r="B224" i="30"/>
  <c r="B81" i="30"/>
  <c r="B192" i="30"/>
  <c r="B26" i="30"/>
  <c r="B114" i="30"/>
  <c r="B108" i="30"/>
  <c r="B73" i="30"/>
  <c r="B113" i="30"/>
  <c r="B158" i="30"/>
  <c r="B120" i="30"/>
  <c r="B92" i="30"/>
  <c r="B140" i="30"/>
  <c r="B105" i="30"/>
  <c r="B154" i="30"/>
  <c r="B109" i="30"/>
  <c r="B110" i="30"/>
  <c r="C4" i="30"/>
  <c r="B136" i="30"/>
  <c r="B186" i="30"/>
  <c r="B170" i="30"/>
  <c r="B65" i="30"/>
  <c r="B191" i="30"/>
  <c r="B231" i="30"/>
  <c r="B236" i="30"/>
  <c r="B16" i="30"/>
  <c r="B179" i="30"/>
  <c r="B59" i="30"/>
  <c r="B130" i="30"/>
  <c r="B196" i="30"/>
  <c r="B85" i="30"/>
  <c r="B70" i="30"/>
  <c r="B61" i="30"/>
  <c r="B125" i="30"/>
  <c r="B19" i="30"/>
  <c r="B199" i="30"/>
  <c r="B181" i="30"/>
  <c r="B213" i="30"/>
  <c r="B141" i="30"/>
  <c r="B189" i="30"/>
  <c r="B36" i="30"/>
  <c r="B100" i="30"/>
  <c r="B66" i="30"/>
  <c r="B146" i="30"/>
  <c r="B62" i="30"/>
  <c r="B83" i="30"/>
  <c r="B91" i="30"/>
  <c r="B93" i="30"/>
  <c r="B116" i="30"/>
  <c r="B80" i="30"/>
  <c r="B188" i="30"/>
  <c r="B57" i="30"/>
  <c r="B126" i="30"/>
  <c r="B167" i="30"/>
  <c r="X18" i="2" l="1"/>
  <c r="W19" i="2"/>
  <c r="H14" i="2"/>
  <c r="H10" i="2"/>
  <c r="H11" i="2"/>
  <c r="H3" i="3"/>
  <c r="S9" i="2"/>
  <c r="X11" i="2"/>
  <c r="T9" i="2"/>
  <c r="X12" i="2"/>
  <c r="E22" i="2"/>
  <c r="G64" i="1"/>
  <c r="J64" i="1" s="1"/>
  <c r="E19" i="2"/>
  <c r="F73" i="1"/>
  <c r="E20" i="2"/>
  <c r="F71" i="1"/>
  <c r="F77" i="1"/>
  <c r="E21" i="2"/>
  <c r="F75" i="1"/>
  <c r="U9" i="2"/>
  <c r="X13" i="2"/>
  <c r="A33" i="2"/>
  <c r="B30" i="5"/>
  <c r="B62" i="1"/>
  <c r="B58" i="1"/>
  <c r="B28" i="5"/>
  <c r="C89" i="30"/>
  <c r="C95" i="30"/>
  <c r="C199" i="30"/>
  <c r="C57" i="30"/>
  <c r="C123" i="30"/>
  <c r="C140" i="30"/>
  <c r="C52" i="30"/>
  <c r="C203" i="30"/>
  <c r="C114" i="30"/>
  <c r="C180" i="30"/>
  <c r="C165" i="30"/>
  <c r="C120" i="30"/>
  <c r="C12" i="30"/>
  <c r="C132" i="30"/>
  <c r="C83" i="30"/>
  <c r="C10" i="30"/>
  <c r="C217" i="30"/>
  <c r="D4" i="30"/>
  <c r="C200" i="30"/>
  <c r="C162" i="30"/>
  <c r="C167" i="30"/>
  <c r="C112" i="30"/>
  <c r="C147" i="30"/>
  <c r="C226" i="30"/>
  <c r="C206" i="30"/>
  <c r="C60" i="30"/>
  <c r="C197" i="30"/>
  <c r="C107" i="30"/>
  <c r="C208" i="30"/>
  <c r="C145" i="30"/>
  <c r="C181" i="30"/>
  <c r="C232" i="30"/>
  <c r="C55" i="30"/>
  <c r="C219" i="30"/>
  <c r="C21" i="30"/>
  <c r="C155" i="30"/>
  <c r="C170" i="30"/>
  <c r="C61" i="30"/>
  <c r="C138" i="30"/>
  <c r="C102" i="30"/>
  <c r="C191" i="30"/>
  <c r="C222" i="30"/>
  <c r="C143" i="30"/>
  <c r="C88" i="30"/>
  <c r="C67" i="30"/>
  <c r="C169" i="30"/>
  <c r="C108" i="30"/>
  <c r="C79" i="30"/>
  <c r="C23" i="30"/>
  <c r="C221" i="30"/>
  <c r="C207" i="30"/>
  <c r="C30" i="30"/>
  <c r="C20" i="30"/>
  <c r="C19" i="30"/>
  <c r="C204" i="30"/>
  <c r="C48" i="30"/>
  <c r="C50" i="30"/>
  <c r="C171" i="30"/>
  <c r="C159" i="30"/>
  <c r="C36" i="30"/>
  <c r="C43" i="30"/>
  <c r="C161" i="30"/>
  <c r="C124" i="30"/>
  <c r="C66" i="30"/>
  <c r="C152" i="30"/>
  <c r="C68" i="30"/>
  <c r="C33" i="30"/>
  <c r="C41" i="30"/>
  <c r="C177" i="30"/>
  <c r="C100" i="30"/>
  <c r="C233" i="30"/>
  <c r="C62" i="30"/>
  <c r="C227" i="30"/>
  <c r="C22" i="30"/>
  <c r="C230" i="30"/>
  <c r="C101" i="30"/>
  <c r="C49" i="30"/>
  <c r="C110" i="30"/>
  <c r="C126" i="30"/>
  <c r="C237" i="30"/>
  <c r="C218" i="30"/>
  <c r="C214" i="30"/>
  <c r="C142" i="30"/>
  <c r="C76" i="30"/>
  <c r="C184" i="30"/>
  <c r="C109" i="30"/>
  <c r="C234" i="30"/>
  <c r="C135" i="30"/>
  <c r="C14" i="30"/>
  <c r="C98" i="30"/>
  <c r="C174" i="30"/>
  <c r="C11" i="30"/>
  <c r="C25" i="30"/>
  <c r="C220" i="30"/>
  <c r="C37" i="30"/>
  <c r="C215" i="30"/>
  <c r="C172" i="30"/>
  <c r="C151" i="30"/>
  <c r="C119" i="30"/>
  <c r="C148" i="30"/>
  <c r="C160" i="30"/>
  <c r="C80" i="30"/>
  <c r="C39" i="30"/>
  <c r="C201" i="30"/>
  <c r="C106" i="30"/>
  <c r="C186" i="30"/>
  <c r="C78" i="30"/>
  <c r="C92" i="30"/>
  <c r="C82" i="30"/>
  <c r="C134" i="30"/>
  <c r="C176" i="30"/>
  <c r="C40" i="30"/>
  <c r="C3" i="30"/>
  <c r="C121" i="30"/>
  <c r="C168" i="30"/>
  <c r="C56" i="30"/>
  <c r="C90" i="30"/>
  <c r="C24" i="30"/>
  <c r="C51" i="30"/>
  <c r="C192" i="30"/>
  <c r="C150" i="30"/>
  <c r="C115" i="30"/>
  <c r="C193" i="30"/>
  <c r="C202" i="30"/>
  <c r="C146" i="30"/>
  <c r="C224" i="30"/>
  <c r="C46" i="30"/>
  <c r="C71" i="30"/>
  <c r="C69" i="30"/>
  <c r="C111" i="30"/>
  <c r="C42" i="30"/>
  <c r="C27" i="30"/>
  <c r="C137" i="30"/>
  <c r="C235" i="30"/>
  <c r="C117" i="30"/>
  <c r="C122" i="30"/>
  <c r="C44" i="30"/>
  <c r="C210" i="30"/>
  <c r="C158" i="30"/>
  <c r="C70" i="30"/>
  <c r="C99" i="30"/>
  <c r="C198" i="30"/>
  <c r="C188" i="30"/>
  <c r="C166" i="30"/>
  <c r="C178" i="30"/>
  <c r="C86" i="30"/>
  <c r="C105" i="30"/>
  <c r="C149" i="30"/>
  <c r="C53" i="30"/>
  <c r="C136" i="30"/>
  <c r="C29" i="30"/>
  <c r="C164" i="30"/>
  <c r="C45" i="30"/>
  <c r="C131" i="30"/>
  <c r="C175" i="30"/>
  <c r="C125" i="30"/>
  <c r="C72" i="30"/>
  <c r="C139" i="30"/>
  <c r="C127" i="30"/>
  <c r="C118" i="30"/>
  <c r="C28" i="30"/>
  <c r="C157" i="30"/>
  <c r="C196" i="30"/>
  <c r="C153" i="30"/>
  <c r="C96" i="30"/>
  <c r="C141" i="30"/>
  <c r="C236" i="30"/>
  <c r="C34" i="30"/>
  <c r="C35" i="30"/>
  <c r="C63" i="30"/>
  <c r="C16" i="30"/>
  <c r="C173" i="30"/>
  <c r="C59" i="30"/>
  <c r="C13" i="30"/>
  <c r="C94" i="30"/>
  <c r="C212" i="30"/>
  <c r="C74" i="30"/>
  <c r="C189" i="30"/>
  <c r="C81" i="30"/>
  <c r="C183" i="30"/>
  <c r="C77" i="30"/>
  <c r="C130" i="30"/>
  <c r="C75" i="30"/>
  <c r="C15" i="30"/>
  <c r="C73" i="30"/>
  <c r="C144" i="30"/>
  <c r="C205" i="30"/>
  <c r="C26" i="30"/>
  <c r="C91" i="30"/>
  <c r="C185" i="30"/>
  <c r="C133" i="30"/>
  <c r="C163" i="30"/>
  <c r="C154" i="30"/>
  <c r="C84" i="30"/>
  <c r="C97" i="30"/>
  <c r="C9" i="30"/>
  <c r="C58" i="30"/>
  <c r="C231" i="30"/>
  <c r="C216" i="30"/>
  <c r="C223" i="30"/>
  <c r="C18" i="30"/>
  <c r="C190" i="30"/>
  <c r="C17" i="30"/>
  <c r="C194" i="30"/>
  <c r="C85" i="30"/>
  <c r="C229" i="30"/>
  <c r="C103" i="30"/>
  <c r="C7" i="30"/>
  <c r="C65" i="30"/>
  <c r="C211" i="30"/>
  <c r="C129" i="30"/>
  <c r="C8" i="30"/>
  <c r="C93" i="30"/>
  <c r="C32" i="30"/>
  <c r="C104" i="30"/>
  <c r="C113" i="30"/>
  <c r="C64" i="30"/>
  <c r="C54" i="30"/>
  <c r="C116" i="30"/>
  <c r="C182" i="30"/>
  <c r="C195" i="30"/>
  <c r="C179" i="30"/>
  <c r="C209" i="30"/>
  <c r="C47" i="30"/>
  <c r="C187" i="30"/>
  <c r="C213" i="30"/>
  <c r="C87" i="30"/>
  <c r="C31" i="30"/>
  <c r="C38" i="30"/>
  <c r="C228" i="30"/>
  <c r="C156" i="30"/>
  <c r="C128" i="30"/>
  <c r="C225" i="30"/>
  <c r="I3" i="3" l="1"/>
  <c r="H12" i="2"/>
  <c r="H13" i="2"/>
  <c r="W20" i="2"/>
  <c r="X19" i="2"/>
  <c r="W1" i="3"/>
  <c r="B11" i="2" a="1"/>
  <c r="B11" i="2" s="1"/>
  <c r="R3" i="3"/>
  <c r="S3" i="3"/>
  <c r="B12" i="2" a="1"/>
  <c r="B12" i="2" s="1"/>
  <c r="Q3" i="3"/>
  <c r="B10" i="2" a="1"/>
  <c r="B10" i="2" s="1"/>
  <c r="B8" i="2" a="1"/>
  <c r="B8" i="2" s="1"/>
  <c r="O3" i="3"/>
  <c r="B5" i="2" a="1"/>
  <c r="B5" i="2" s="1"/>
  <c r="L3" i="3"/>
  <c r="U3" i="3"/>
  <c r="B14" i="2" a="1"/>
  <c r="B14" i="2" s="1"/>
  <c r="B13" i="2" a="1"/>
  <c r="B13" i="2" s="1"/>
  <c r="T3" i="3"/>
  <c r="P3" i="3"/>
  <c r="B9" i="2" a="1"/>
  <c r="B9" i="2" s="1"/>
  <c r="B7" i="2" a="1"/>
  <c r="B7" i="2" s="1"/>
  <c r="N3" i="3"/>
  <c r="M3" i="3"/>
  <c r="B6" i="2" a="1"/>
  <c r="B6" i="2" s="1"/>
  <c r="L64" i="1"/>
  <c r="G66" i="1"/>
  <c r="I66" i="1" s="1"/>
  <c r="T68" i="1" s="1"/>
  <c r="M68" i="1" s="1"/>
  <c r="U68" i="1" s="1"/>
  <c r="V9" i="2"/>
  <c r="X14" i="2"/>
  <c r="D120" i="30"/>
  <c r="D31" i="30"/>
  <c r="D235" i="30"/>
  <c r="D96" i="30"/>
  <c r="D11" i="30"/>
  <c r="D225" i="30"/>
  <c r="D63" i="30"/>
  <c r="D170" i="30"/>
  <c r="D123" i="30"/>
  <c r="D111" i="30"/>
  <c r="D86" i="30"/>
  <c r="D15" i="30"/>
  <c r="D57" i="30"/>
  <c r="D200" i="30"/>
  <c r="D12" i="30"/>
  <c r="D169" i="30"/>
  <c r="D141" i="30"/>
  <c r="D113" i="30"/>
  <c r="D218" i="30"/>
  <c r="D128" i="30"/>
  <c r="D118" i="30"/>
  <c r="D162" i="30"/>
  <c r="D45" i="30"/>
  <c r="D189" i="30"/>
  <c r="D114" i="30"/>
  <c r="D203" i="30"/>
  <c r="D34" i="30"/>
  <c r="D195" i="30"/>
  <c r="D210" i="30"/>
  <c r="D171" i="30"/>
  <c r="D54" i="30"/>
  <c r="D33" i="30"/>
  <c r="D89" i="30"/>
  <c r="D181" i="30"/>
  <c r="D77" i="30"/>
  <c r="D55" i="30"/>
  <c r="D58" i="30"/>
  <c r="D131" i="30"/>
  <c r="D50" i="30"/>
  <c r="D152" i="30"/>
  <c r="D223" i="30"/>
  <c r="D173" i="30"/>
  <c r="D156" i="30"/>
  <c r="D222" i="30"/>
  <c r="D97" i="30"/>
  <c r="D32" i="30"/>
  <c r="D94" i="30"/>
  <c r="D3" i="30"/>
  <c r="D226" i="30"/>
  <c r="D68" i="30"/>
  <c r="D90" i="30"/>
  <c r="D26" i="30"/>
  <c r="D144" i="30"/>
  <c r="D35" i="30"/>
  <c r="D67" i="30"/>
  <c r="D127" i="30"/>
  <c r="D74" i="30"/>
  <c r="D187" i="30"/>
  <c r="D98" i="30"/>
  <c r="D174" i="30"/>
  <c r="D52" i="30"/>
  <c r="D146" i="30"/>
  <c r="D18" i="30"/>
  <c r="D80" i="30"/>
  <c r="D71" i="30"/>
  <c r="D213" i="30"/>
  <c r="D161" i="30"/>
  <c r="D219" i="30"/>
  <c r="D61" i="30"/>
  <c r="D126" i="30"/>
  <c r="D130" i="30"/>
  <c r="D140" i="30"/>
  <c r="D91" i="30"/>
  <c r="D160" i="30"/>
  <c r="D64" i="30"/>
  <c r="D78" i="30"/>
  <c r="D62" i="30"/>
  <c r="D83" i="30"/>
  <c r="D44" i="30"/>
  <c r="D84" i="30"/>
  <c r="D192" i="30"/>
  <c r="D36" i="30"/>
  <c r="D198" i="30"/>
  <c r="D82" i="30"/>
  <c r="D212" i="30"/>
  <c r="D9" i="30"/>
  <c r="D30" i="30"/>
  <c r="D22" i="30"/>
  <c r="D16" i="30"/>
  <c r="D157" i="30"/>
  <c r="D199" i="30"/>
  <c r="D27" i="30"/>
  <c r="D85" i="30"/>
  <c r="D19" i="30"/>
  <c r="D216" i="30"/>
  <c r="D125" i="30"/>
  <c r="D204" i="30"/>
  <c r="D51" i="30"/>
  <c r="D53" i="30"/>
  <c r="D133" i="30"/>
  <c r="D221" i="30"/>
  <c r="D185" i="30"/>
  <c r="D135" i="30"/>
  <c r="D193" i="30"/>
  <c r="D208" i="30"/>
  <c r="D20" i="30"/>
  <c r="D151" i="30"/>
  <c r="D194" i="30"/>
  <c r="D154" i="30"/>
  <c r="D180" i="30"/>
  <c r="D177" i="30"/>
  <c r="D75" i="30"/>
  <c r="D142" i="30"/>
  <c r="D105" i="30"/>
  <c r="D215" i="30"/>
  <c r="D25" i="30"/>
  <c r="D206" i="30"/>
  <c r="D138" i="30"/>
  <c r="D59" i="30"/>
  <c r="D42" i="30"/>
  <c r="D191" i="30"/>
  <c r="D211" i="30"/>
  <c r="D17" i="30"/>
  <c r="D224" i="30"/>
  <c r="D184" i="30"/>
  <c r="D70" i="30"/>
  <c r="D112" i="30"/>
  <c r="D73" i="30"/>
  <c r="D60" i="30"/>
  <c r="D65" i="30"/>
  <c r="D110" i="30"/>
  <c r="D178" i="30"/>
  <c r="D99" i="30"/>
  <c r="D205" i="30"/>
  <c r="D232" i="30"/>
  <c r="D201" i="30"/>
  <c r="D186" i="30"/>
  <c r="D100" i="30"/>
  <c r="D230" i="30"/>
  <c r="D167" i="30"/>
  <c r="D47" i="30"/>
  <c r="D104" i="30"/>
  <c r="D166" i="30"/>
  <c r="D163" i="30"/>
  <c r="D37" i="30"/>
  <c r="D56" i="30"/>
  <c r="D139" i="30"/>
  <c r="D168" i="30"/>
  <c r="D88" i="30"/>
  <c r="D7" i="30"/>
  <c r="D197" i="30"/>
  <c r="D46" i="30"/>
  <c r="D137" i="30"/>
  <c r="D14" i="30"/>
  <c r="D227" i="30"/>
  <c r="D92" i="30"/>
  <c r="D106" i="30"/>
  <c r="D182" i="30"/>
  <c r="D49" i="30"/>
  <c r="D237" i="30"/>
  <c r="D66" i="30"/>
  <c r="D43" i="30"/>
  <c r="D228" i="30"/>
  <c r="D102" i="30"/>
  <c r="D76" i="30"/>
  <c r="D202" i="30"/>
  <c r="D129" i="30"/>
  <c r="D28" i="30"/>
  <c r="D153" i="30"/>
  <c r="D220" i="30"/>
  <c r="D38" i="30"/>
  <c r="D150" i="30"/>
  <c r="D234" i="30"/>
  <c r="D231" i="30"/>
  <c r="D143" i="30"/>
  <c r="D121" i="30"/>
  <c r="D148" i="30"/>
  <c r="D93" i="30"/>
  <c r="D79" i="30"/>
  <c r="D116" i="30"/>
  <c r="D196" i="30"/>
  <c r="D115" i="30"/>
  <c r="D165" i="30"/>
  <c r="D159" i="30"/>
  <c r="D183" i="30"/>
  <c r="D229" i="30"/>
  <c r="D40" i="30"/>
  <c r="D13" i="30"/>
  <c r="D176" i="30"/>
  <c r="D149" i="30"/>
  <c r="D117" i="30"/>
  <c r="D233" i="30"/>
  <c r="D134" i="30"/>
  <c r="D108" i="30"/>
  <c r="D209" i="30"/>
  <c r="D8" i="30"/>
  <c r="D107" i="30"/>
  <c r="D48" i="30"/>
  <c r="E4" i="30"/>
  <c r="D172" i="30"/>
  <c r="D24" i="30"/>
  <c r="D147" i="30"/>
  <c r="D69" i="30"/>
  <c r="D41" i="30"/>
  <c r="D23" i="30"/>
  <c r="D29" i="30"/>
  <c r="D217" i="30"/>
  <c r="D155" i="30"/>
  <c r="D136" i="30"/>
  <c r="D175" i="30"/>
  <c r="D214" i="30"/>
  <c r="D124" i="30"/>
  <c r="D236" i="30"/>
  <c r="D190" i="30"/>
  <c r="D81" i="30"/>
  <c r="D103" i="30"/>
  <c r="D164" i="30"/>
  <c r="D207" i="30"/>
  <c r="D188" i="30"/>
  <c r="D132" i="30"/>
  <c r="D101" i="30"/>
  <c r="D87" i="30"/>
  <c r="D39" i="30"/>
  <c r="D122" i="30"/>
  <c r="D10" i="30"/>
  <c r="D145" i="30"/>
  <c r="D21" i="30"/>
  <c r="D179" i="30"/>
  <c r="D119" i="30"/>
  <c r="D158" i="30"/>
  <c r="D95" i="30"/>
  <c r="D72" i="30"/>
  <c r="D109" i="30"/>
  <c r="B3" i="3" l="1"/>
  <c r="X1" i="3"/>
  <c r="W21" i="2"/>
  <c r="X21" i="2" s="1"/>
  <c r="X20" i="2"/>
  <c r="H13" i="1"/>
  <c r="B10" i="5" s="1"/>
  <c r="I12" i="2"/>
  <c r="W6" i="2"/>
  <c r="Q12" i="2"/>
  <c r="W12" i="2" s="1"/>
  <c r="I14" i="2"/>
  <c r="Q11" i="2"/>
  <c r="W11" i="2" s="1"/>
  <c r="Q14" i="2"/>
  <c r="W14" i="2" s="1"/>
  <c r="I13" i="2"/>
  <c r="I11" i="2"/>
  <c r="Q10" i="2"/>
  <c r="B28" i="1"/>
  <c r="I10" i="2"/>
  <c r="Q13" i="2"/>
  <c r="W13" i="2" s="1"/>
  <c r="H12" i="1"/>
  <c r="B1" i="1"/>
  <c r="U6" i="1"/>
  <c r="B9" i="1"/>
  <c r="D11" i="2"/>
  <c r="A11" i="2"/>
  <c r="G11" i="2"/>
  <c r="D12" i="2"/>
  <c r="A12" i="2"/>
  <c r="G12" i="2"/>
  <c r="X3" i="3"/>
  <c r="B9" i="5" a="1"/>
  <c r="B9" i="5" s="1"/>
  <c r="B8" i="5" a="1"/>
  <c r="B8" i="5" s="1"/>
  <c r="D10" i="2"/>
  <c r="G10" i="2"/>
  <c r="A10" i="2"/>
  <c r="D8" i="2"/>
  <c r="A8" i="2"/>
  <c r="F13" i="2"/>
  <c r="D5" i="2"/>
  <c r="A5" i="2"/>
  <c r="F10" i="2"/>
  <c r="G14" i="2"/>
  <c r="A14" i="2"/>
  <c r="D14" i="2"/>
  <c r="D13" i="2"/>
  <c r="A13" i="2"/>
  <c r="G13" i="2"/>
  <c r="D9" i="2"/>
  <c r="A9" i="2"/>
  <c r="F14" i="2"/>
  <c r="D7" i="2"/>
  <c r="F12" i="2"/>
  <c r="A7" i="2"/>
  <c r="F11" i="2"/>
  <c r="A6" i="2"/>
  <c r="D6" i="2"/>
  <c r="B31" i="5"/>
  <c r="B32" i="5"/>
  <c r="T69" i="1"/>
  <c r="B69" i="1" s="1"/>
  <c r="J77" i="1"/>
  <c r="Z69" i="1"/>
  <c r="E111" i="30"/>
  <c r="E94" i="30"/>
  <c r="E130" i="30"/>
  <c r="E226" i="30"/>
  <c r="E192" i="30"/>
  <c r="E78" i="30"/>
  <c r="E15" i="30"/>
  <c r="E216" i="30"/>
  <c r="E74" i="30"/>
  <c r="E40" i="30"/>
  <c r="E162" i="30"/>
  <c r="E12" i="30"/>
  <c r="E80" i="30"/>
  <c r="E175" i="30"/>
  <c r="E81" i="30"/>
  <c r="E126" i="30"/>
  <c r="E168" i="30"/>
  <c r="E41" i="30"/>
  <c r="E147" i="30"/>
  <c r="E183" i="30"/>
  <c r="E212" i="30"/>
  <c r="E205" i="30"/>
  <c r="E3" i="30"/>
  <c r="E170" i="30"/>
  <c r="E10" i="30"/>
  <c r="E193" i="30"/>
  <c r="E131" i="30"/>
  <c r="E184" i="30"/>
  <c r="E52" i="30"/>
  <c r="E24" i="30"/>
  <c r="E20" i="30"/>
  <c r="E13" i="30"/>
  <c r="E116" i="30"/>
  <c r="E229" i="30"/>
  <c r="E160" i="30"/>
  <c r="E63" i="30"/>
  <c r="E21" i="30"/>
  <c r="E18" i="30"/>
  <c r="E76" i="30"/>
  <c r="E90" i="30"/>
  <c r="E136" i="30"/>
  <c r="E174" i="30"/>
  <c r="E180" i="30"/>
  <c r="E84" i="30"/>
  <c r="E113" i="30"/>
  <c r="E117" i="30"/>
  <c r="E228" i="30"/>
  <c r="E53" i="30"/>
  <c r="E204" i="30"/>
  <c r="E149" i="30"/>
  <c r="E177" i="30"/>
  <c r="E156" i="30"/>
  <c r="E146" i="30"/>
  <c r="E107" i="30"/>
  <c r="E105" i="30"/>
  <c r="E103" i="30"/>
  <c r="E101" i="30"/>
  <c r="E99" i="30"/>
  <c r="E70" i="30"/>
  <c r="E77" i="30"/>
  <c r="E39" i="30"/>
  <c r="E237" i="30"/>
  <c r="E161" i="30"/>
  <c r="E97" i="30"/>
  <c r="E93" i="30"/>
  <c r="E91" i="30"/>
  <c r="E89" i="30"/>
  <c r="E87" i="30"/>
  <c r="E85" i="30"/>
  <c r="E83" i="30"/>
  <c r="E178" i="30"/>
  <c r="E196" i="30"/>
  <c r="E163" i="30"/>
  <c r="E199" i="30"/>
  <c r="E57" i="30"/>
  <c r="E38" i="30"/>
  <c r="E37" i="30"/>
  <c r="E36" i="30"/>
  <c r="E143" i="30"/>
  <c r="E208" i="30"/>
  <c r="E72" i="30"/>
  <c r="E223" i="30"/>
  <c r="E218" i="30"/>
  <c r="E55" i="30"/>
  <c r="E234" i="30"/>
  <c r="E181" i="30"/>
  <c r="E86" i="30"/>
  <c r="E217" i="30"/>
  <c r="E145" i="30"/>
  <c r="E34" i="30"/>
  <c r="E167" i="30"/>
  <c r="E154" i="30"/>
  <c r="E48" i="30"/>
  <c r="E233" i="30"/>
  <c r="E210" i="30"/>
  <c r="E236" i="30"/>
  <c r="E46" i="30"/>
  <c r="E49" i="30"/>
  <c r="E152" i="30"/>
  <c r="E153" i="30"/>
  <c r="E33" i="30"/>
  <c r="E29" i="30"/>
  <c r="E139" i="30"/>
  <c r="E235" i="30"/>
  <c r="E56" i="30"/>
  <c r="E23" i="30"/>
  <c r="E202" i="30"/>
  <c r="E108" i="30"/>
  <c r="E65" i="30"/>
  <c r="E141" i="30"/>
  <c r="E8" i="30"/>
  <c r="E110" i="30"/>
  <c r="E95" i="30"/>
  <c r="E120" i="30"/>
  <c r="E171" i="30"/>
  <c r="E213" i="30"/>
  <c r="E118" i="30"/>
  <c r="E112" i="30"/>
  <c r="E104" i="30"/>
  <c r="E166" i="30"/>
  <c r="E7" i="30"/>
  <c r="E179" i="30"/>
  <c r="E62" i="30"/>
  <c r="E164" i="30"/>
  <c r="E98" i="30"/>
  <c r="E159" i="30"/>
  <c r="E200" i="30"/>
  <c r="E225" i="30"/>
  <c r="E88" i="30"/>
  <c r="E190" i="30"/>
  <c r="E68" i="30"/>
  <c r="E144" i="30"/>
  <c r="E140" i="30"/>
  <c r="E42" i="30"/>
  <c r="E203" i="30"/>
  <c r="E211" i="30"/>
  <c r="E182" i="30"/>
  <c r="E66" i="30"/>
  <c r="E44" i="30"/>
  <c r="E194" i="30"/>
  <c r="E148" i="30"/>
  <c r="E31" i="30"/>
  <c r="E27" i="30"/>
  <c r="E79" i="30"/>
  <c r="E209" i="30"/>
  <c r="E64" i="30"/>
  <c r="E25" i="30"/>
  <c r="E19" i="30"/>
  <c r="E69" i="30"/>
  <c r="E169" i="30"/>
  <c r="E61" i="30"/>
  <c r="E30" i="30"/>
  <c r="E82" i="30"/>
  <c r="E138" i="30"/>
  <c r="E14" i="30"/>
  <c r="E151" i="30"/>
  <c r="E54" i="30"/>
  <c r="E227" i="30"/>
  <c r="E133" i="30"/>
  <c r="E197" i="30"/>
  <c r="E188" i="30"/>
  <c r="E115" i="30"/>
  <c r="E109" i="30"/>
  <c r="E214" i="30"/>
  <c r="E11" i="30"/>
  <c r="E215" i="30"/>
  <c r="E206" i="30"/>
  <c r="E92" i="30"/>
  <c r="E231" i="30"/>
  <c r="E191" i="30"/>
  <c r="E100" i="30"/>
  <c r="E96" i="30"/>
  <c r="E172" i="30"/>
  <c r="E157" i="30"/>
  <c r="E219" i="30"/>
  <c r="E129" i="30"/>
  <c r="E73" i="30"/>
  <c r="E45" i="30"/>
  <c r="E207" i="30"/>
  <c r="E142" i="30"/>
  <c r="E71" i="30"/>
  <c r="E123" i="30"/>
  <c r="E121" i="30"/>
  <c r="E119" i="30"/>
  <c r="E173" i="30"/>
  <c r="E165" i="30"/>
  <c r="E185" i="30"/>
  <c r="E43" i="30"/>
  <c r="E75" i="30"/>
  <c r="E9" i="30"/>
  <c r="E137" i="30"/>
  <c r="E135" i="30"/>
  <c r="E132" i="30"/>
  <c r="E201" i="30"/>
  <c r="E222" i="30"/>
  <c r="E128" i="30"/>
  <c r="E47" i="30"/>
  <c r="E187" i="30"/>
  <c r="E220" i="30"/>
  <c r="E224" i="30"/>
  <c r="E124" i="30"/>
  <c r="E134" i="30"/>
  <c r="E176" i="30"/>
  <c r="E102" i="30"/>
  <c r="E158" i="30"/>
  <c r="E150" i="30"/>
  <c r="E189" i="30"/>
  <c r="E16" i="30"/>
  <c r="E221" i="30"/>
  <c r="E51" i="30"/>
  <c r="E230" i="30"/>
  <c r="E122" i="30"/>
  <c r="E186" i="30"/>
  <c r="E232" i="30"/>
  <c r="E127" i="30"/>
  <c r="E50" i="30"/>
  <c r="E106" i="30"/>
  <c r="E58" i="30"/>
  <c r="E67" i="30"/>
  <c r="E35" i="30"/>
  <c r="E32" i="30"/>
  <c r="E28" i="30"/>
  <c r="E114" i="30"/>
  <c r="E60" i="30"/>
  <c r="E26" i="30"/>
  <c r="E22" i="30"/>
  <c r="E17" i="30"/>
  <c r="E195" i="30"/>
  <c r="E155" i="30"/>
  <c r="E125" i="30"/>
  <c r="E198" i="30"/>
  <c r="E59" i="30"/>
  <c r="N12" i="2" l="1"/>
  <c r="L12" i="2"/>
  <c r="M12" i="2"/>
  <c r="N14" i="2"/>
  <c r="M14" i="2"/>
  <c r="L14" i="2"/>
  <c r="L13" i="2"/>
  <c r="M13" i="2"/>
  <c r="N13" i="2"/>
  <c r="J11" i="2" a="1"/>
  <c r="J11" i="2" s="1"/>
  <c r="M11" i="2"/>
  <c r="N11" i="2"/>
  <c r="L11" i="2"/>
  <c r="W10" i="2"/>
  <c r="Q15" i="2"/>
  <c r="N10" i="2"/>
  <c r="M10" i="2"/>
  <c r="L10" i="2"/>
  <c r="Z14" i="2"/>
  <c r="E29" i="1"/>
  <c r="B31" i="1"/>
  <c r="P13" i="2"/>
  <c r="U8" i="2" s="1"/>
  <c r="P11" i="2"/>
  <c r="S8" i="2" s="1"/>
  <c r="P14" i="2"/>
  <c r="V8" i="2" s="1"/>
  <c r="P10" i="2"/>
  <c r="B34" i="1"/>
  <c r="B5" i="5"/>
  <c r="B32" i="1"/>
  <c r="Z11" i="2"/>
  <c r="Y11" i="2" a="1"/>
  <c r="Y11" i="2" s="1"/>
  <c r="P12" i="2"/>
  <c r="T8" i="2" s="1"/>
  <c r="Z13" i="2"/>
  <c r="Z10" i="2"/>
  <c r="E9" i="2"/>
  <c r="E5" i="2"/>
  <c r="B2" i="1" s="1"/>
  <c r="J10" i="2" a="1"/>
  <c r="J10" i="2" s="1"/>
  <c r="K10" i="2" a="1"/>
  <c r="K10" i="2" s="1"/>
  <c r="J13" i="2" a="1"/>
  <c r="J13" i="2" s="1"/>
  <c r="K13" i="2" a="1"/>
  <c r="K13" i="2" s="1"/>
  <c r="Y10" i="2" a="1"/>
  <c r="Y10" i="2" s="1"/>
  <c r="K12" i="2" a="1"/>
  <c r="K12" i="2" s="1"/>
  <c r="V12" i="2" l="1"/>
  <c r="V11" i="2"/>
  <c r="V10" i="2"/>
  <c r="W15" i="2"/>
  <c r="E30" i="1" s="1"/>
  <c r="S14" i="2"/>
  <c r="T14" i="2"/>
  <c r="U14" i="2"/>
  <c r="V13" i="2"/>
  <c r="S13" i="2"/>
  <c r="T13" i="2"/>
  <c r="P15" i="2"/>
  <c r="O15" i="2" s="1"/>
  <c r="R8" i="2"/>
  <c r="R14" i="2" s="1"/>
  <c r="U12" i="2"/>
  <c r="U11" i="2"/>
  <c r="U10" i="2"/>
  <c r="S12" i="2"/>
  <c r="S10" i="2"/>
  <c r="T10" i="2"/>
  <c r="T11" i="2"/>
  <c r="Y14" i="2" a="1"/>
  <c r="Y14" i="2" s="1"/>
  <c r="K14" i="2" a="1"/>
  <c r="K14" i="2" s="1"/>
  <c r="J14" i="2" a="1"/>
  <c r="J14" i="2" s="1"/>
  <c r="Z12" i="2" l="1"/>
  <c r="Z9" i="2" s="1"/>
  <c r="E32" i="1" s="1"/>
  <c r="R13" i="2"/>
  <c r="U13" i="2" s="1"/>
  <c r="R11" i="2"/>
  <c r="S11" i="2" s="1"/>
  <c r="R12" i="2"/>
  <c r="T12" i="2" s="1"/>
  <c r="R10" i="2"/>
  <c r="V14" i="2"/>
  <c r="U15" i="2" l="1"/>
  <c r="S15" i="2"/>
  <c r="V3" i="3"/>
  <c r="B12" i="5" a="1"/>
  <c r="B12" i="5" s="1"/>
  <c r="B11" i="5" a="1"/>
  <c r="B11" i="5" s="1"/>
  <c r="E35" i="1" a="1"/>
  <c r="E35" i="1" s="1"/>
  <c r="Y12" i="2" a="1"/>
  <c r="Y12" i="2" s="1"/>
  <c r="Y9" i="2" s="1"/>
  <c r="E33" i="1" s="1"/>
  <c r="K11" i="2" a="1"/>
  <c r="K11" i="2" s="1"/>
  <c r="M44" i="1"/>
  <c r="T15" i="2"/>
  <c r="E44" i="1"/>
  <c r="W3" i="3"/>
  <c r="B7" i="5" a="1"/>
  <c r="B7" i="5" s="1"/>
  <c r="B6" i="5" a="1"/>
  <c r="B6" i="5" s="1"/>
  <c r="D36" i="1" a="1"/>
  <c r="D36" i="1" s="1"/>
  <c r="J12" i="2" a="1"/>
  <c r="J12" i="2" s="1"/>
  <c r="J15" i="2" s="1"/>
  <c r="E39" i="1"/>
  <c r="M39" i="1"/>
  <c r="R15" i="2"/>
  <c r="V15" i="2"/>
  <c r="Y13" i="2" a="1"/>
  <c r="Y13" i="2" s="1"/>
  <c r="C73" i="1" l="1"/>
  <c r="AA73" i="1" s="1"/>
  <c r="Z73" i="1" s="1"/>
  <c r="E46" i="1"/>
  <c r="M54" i="1"/>
  <c r="E45" i="1"/>
  <c r="E54" i="1"/>
  <c r="M45" i="1"/>
  <c r="B25" i="5" a="1"/>
  <c r="B25" i="5" s="1"/>
  <c r="B24" i="5" a="1"/>
  <c r="B24" i="5" s="1"/>
  <c r="AA3" i="3"/>
  <c r="A22" i="2" a="1"/>
  <c r="A22" i="2" s="1"/>
  <c r="B22" i="2" a="1"/>
  <c r="B22" i="2" s="1"/>
  <c r="C71" i="1"/>
  <c r="E40" i="1"/>
  <c r="E41" i="1"/>
  <c r="M40" i="1"/>
  <c r="B19" i="2" a="1"/>
  <c r="B19" i="2" s="1"/>
  <c r="Y3" i="3"/>
  <c r="B14" i="5" a="1"/>
  <c r="B14" i="5" s="1"/>
  <c r="B15" i="5" a="1"/>
  <c r="B15" i="5" s="1"/>
  <c r="A19" i="2" a="1"/>
  <c r="A19" i="2" s="1"/>
  <c r="M49" i="1"/>
  <c r="E49" i="1"/>
  <c r="B23" i="5" l="1" a="1"/>
  <c r="B23" i="5" s="1"/>
  <c r="B22" i="5" a="1"/>
  <c r="B22" i="5" s="1"/>
  <c r="B21" i="2" a="1"/>
  <c r="B21" i="2" s="1"/>
  <c r="AE3" i="3"/>
  <c r="A21" i="2" a="1"/>
  <c r="A21" i="2" s="1"/>
  <c r="E55" i="1"/>
  <c r="C77" i="1"/>
  <c r="AA77" i="1" s="1"/>
  <c r="Z77" i="1" s="1"/>
  <c r="E47" i="1"/>
  <c r="C74" i="1"/>
  <c r="B26" i="5" a="1"/>
  <c r="B26" i="5" s="1"/>
  <c r="AB3" i="3"/>
  <c r="B17" i="2" a="1"/>
  <c r="B17" i="2" s="1"/>
  <c r="B27" i="5" a="1"/>
  <c r="B27" i="5" s="1"/>
  <c r="A17" i="2" a="1"/>
  <c r="A17" i="2" s="1"/>
  <c r="E42" i="1"/>
  <c r="C72" i="1"/>
  <c r="B17" i="5" a="1"/>
  <c r="B17" i="5" s="1"/>
  <c r="A16" i="2" a="1"/>
  <c r="A16" i="2" s="1"/>
  <c r="B16" i="5" a="1"/>
  <c r="B16" i="5" s="1"/>
  <c r="B16" i="2" a="1"/>
  <c r="B16" i="2" s="1"/>
  <c r="Z3" i="3"/>
  <c r="A20" i="2" a="1"/>
  <c r="A20" i="2" s="1"/>
  <c r="AC3" i="3"/>
  <c r="B20" i="2" a="1"/>
  <c r="B20" i="2" s="1"/>
  <c r="B18" i="5" a="1"/>
  <c r="B18" i="5" s="1"/>
  <c r="B19" i="5" a="1"/>
  <c r="B19" i="5" s="1"/>
  <c r="E51" i="1"/>
  <c r="C75" i="1"/>
  <c r="AA75" i="1" s="1"/>
  <c r="Z75" i="1" s="1"/>
  <c r="AA71" i="1"/>
  <c r="Z71" i="1" s="1"/>
  <c r="M50" i="1"/>
  <c r="U47" i="1"/>
  <c r="E50" i="1" s="1"/>
  <c r="AA74" i="1" l="1"/>
  <c r="Z74" i="1" s="1"/>
  <c r="AA72" i="1"/>
  <c r="Z72" i="1" s="1"/>
  <c r="A18" i="2" a="1"/>
  <c r="A18" i="2" s="1"/>
  <c r="B18" i="2" a="1"/>
  <c r="B18" i="2" s="1"/>
  <c r="AD3" i="3"/>
  <c r="B21" i="5" a="1"/>
  <c r="B21" i="5" s="1"/>
  <c r="B20" i="5" a="1"/>
  <c r="B20" i="5" s="1"/>
  <c r="C76" i="1"/>
  <c r="E52" i="1"/>
  <c r="B38" i="5" s="1"/>
  <c r="J72" i="1" l="1"/>
  <c r="J71" i="1"/>
  <c r="U71" i="1" a="1"/>
  <c r="U71" i="1" s="1"/>
  <c r="C60" i="1"/>
  <c r="H60" i="1" s="1"/>
  <c r="J60" i="1" s="1"/>
  <c r="K71" i="1"/>
  <c r="J76" i="1" s="1"/>
  <c r="K72" i="1"/>
  <c r="AA76" i="1"/>
  <c r="Z76" i="1" s="1"/>
  <c r="Z70" i="1" s="1"/>
  <c r="B29" i="5" l="1"/>
  <c r="T18" i="1"/>
  <c r="L76" i="1"/>
  <c r="E97" i="1"/>
  <c r="M72" i="1"/>
  <c r="E86" i="1"/>
  <c r="E92" i="1"/>
  <c r="M71" i="1"/>
  <c r="U78" i="1"/>
  <c r="T71" i="1"/>
  <c r="I73" i="1" s="1"/>
  <c r="B81" i="1"/>
  <c r="T76" i="1" l="1"/>
  <c r="E79" i="1"/>
  <c r="H79" i="1" s="1"/>
  <c r="T19" i="1"/>
  <c r="F84" i="1" a="1"/>
  <c r="F84" i="1" s="1"/>
  <c r="B33" i="5"/>
  <c r="O81" i="1"/>
  <c r="B34" i="5"/>
  <c r="W78" i="1"/>
  <c r="X78" i="1"/>
  <c r="E105" i="1"/>
  <c r="E113" i="1" s="1"/>
  <c r="E119" i="1" s="1"/>
  <c r="B78" i="1"/>
  <c r="J79" i="1" l="1"/>
  <c r="E38" i="2"/>
  <c r="E39" i="2" s="1"/>
  <c r="C83" i="1"/>
  <c r="B82" i="1"/>
  <c r="F90" i="1"/>
  <c r="F95" i="1" s="1"/>
  <c r="J102" i="1"/>
  <c r="K102" i="1"/>
  <c r="F102" i="1"/>
  <c r="F111" i="1" s="1"/>
  <c r="F117" i="1" s="1"/>
  <c r="A38" i="2" l="1"/>
  <c r="B38" i="2"/>
  <c r="C38" i="2" s="1"/>
  <c r="E87" i="1"/>
  <c r="F83" i="1"/>
  <c r="H83" i="1"/>
  <c r="F85" i="1" s="1"/>
  <c r="H84" i="1" s="1"/>
  <c r="L84" i="1" s="1"/>
  <c r="G86" i="1" s="1"/>
  <c r="H86" i="1" s="1"/>
  <c r="B39" i="2"/>
  <c r="C39" i="2" s="1"/>
  <c r="A39" i="2"/>
  <c r="E40" i="2"/>
  <c r="D38" i="2" l="1"/>
  <c r="J86" i="1"/>
  <c r="B88" i="1"/>
  <c r="D39" i="2"/>
  <c r="A40" i="2"/>
  <c r="E41" i="2"/>
  <c r="B40" i="2"/>
  <c r="C40" i="2" s="1"/>
  <c r="E42" i="2" l="1"/>
  <c r="A41" i="2"/>
  <c r="B41" i="2"/>
  <c r="C41" i="2" s="1"/>
  <c r="D40" i="2"/>
  <c r="D41" i="2" l="1"/>
  <c r="A42" i="2"/>
  <c r="E43" i="2"/>
  <c r="B42" i="2"/>
  <c r="C42" i="2" s="1"/>
  <c r="A43" i="2" l="1"/>
  <c r="E44" i="2"/>
  <c r="B43" i="2"/>
  <c r="C43" i="2" s="1"/>
  <c r="D42" i="2"/>
  <c r="A44" i="2" l="1"/>
  <c r="E45" i="2"/>
  <c r="B44" i="2"/>
  <c r="C44" i="2" s="1"/>
  <c r="D43" i="2"/>
  <c r="D44" i="2" l="1"/>
  <c r="A45" i="2"/>
  <c r="E46" i="2"/>
  <c r="B45" i="2"/>
  <c r="C45" i="2" s="1"/>
  <c r="E47" i="2" l="1"/>
  <c r="A46" i="2"/>
  <c r="B46" i="2"/>
  <c r="C46" i="2" s="1"/>
  <c r="D45" i="2"/>
  <c r="E48" i="2" l="1"/>
  <c r="A47" i="2"/>
  <c r="B47" i="2"/>
  <c r="C47" i="2" s="1"/>
  <c r="D46" i="2"/>
  <c r="E49" i="2" l="1"/>
  <c r="A48" i="2"/>
  <c r="B48" i="2"/>
  <c r="C48" i="2" s="1"/>
  <c r="D47" i="2"/>
  <c r="D48" i="2" l="1"/>
  <c r="A49" i="2"/>
  <c r="E50" i="2"/>
  <c r="B49" i="2"/>
  <c r="C49" i="2" s="1"/>
  <c r="A50" i="2" l="1"/>
  <c r="E51" i="2"/>
  <c r="B50" i="2"/>
  <c r="C50" i="2" s="1"/>
  <c r="D49" i="2"/>
  <c r="E52" i="2" l="1"/>
  <c r="B51" i="2"/>
  <c r="C51" i="2" s="1"/>
  <c r="A51" i="2"/>
  <c r="D50" i="2"/>
  <c r="D51" i="2" l="1"/>
  <c r="B52" i="2"/>
  <c r="C52" i="2" s="1"/>
  <c r="D52" i="2" s="1"/>
  <c r="E53" i="2"/>
  <c r="A52" i="2"/>
  <c r="A53" i="2" l="1"/>
  <c r="E54" i="2"/>
  <c r="B53" i="2"/>
  <c r="C53" i="2" s="1"/>
  <c r="A54" i="2" l="1"/>
  <c r="B54" i="2"/>
  <c r="C54" i="2" s="1"/>
  <c r="E55" i="2"/>
  <c r="D53" i="2"/>
  <c r="E56" i="2" l="1"/>
  <c r="A55" i="2"/>
  <c r="B55" i="2"/>
  <c r="C55" i="2" s="1"/>
  <c r="D54" i="2"/>
  <c r="E57" i="2" l="1"/>
  <c r="B56" i="2"/>
  <c r="C56" i="2" s="1"/>
  <c r="A56" i="2"/>
  <c r="D55" i="2"/>
  <c r="B57" i="2" l="1"/>
  <c r="C57" i="2" s="1"/>
  <c r="A57" i="2"/>
  <c r="E58" i="2"/>
  <c r="D56" i="2"/>
  <c r="E59" i="2" l="1"/>
  <c r="B58" i="2"/>
  <c r="C58" i="2" s="1"/>
  <c r="A58" i="2"/>
  <c r="D57" i="2"/>
  <c r="A59" i="2" l="1"/>
  <c r="E60" i="2"/>
  <c r="B59" i="2"/>
  <c r="C59" i="2" s="1"/>
  <c r="D58" i="2"/>
  <c r="B60" i="2" l="1"/>
  <c r="C60" i="2" s="1"/>
  <c r="E61" i="2"/>
  <c r="A60" i="2"/>
  <c r="D59" i="2"/>
  <c r="D60" i="2" l="1"/>
  <c r="A61" i="2"/>
  <c r="B61" i="2"/>
  <c r="C61" i="2" s="1"/>
  <c r="E62" i="2"/>
  <c r="B62" i="2" l="1"/>
  <c r="C62" i="2" s="1"/>
  <c r="E63" i="2"/>
  <c r="A62" i="2"/>
  <c r="D61" i="2"/>
  <c r="B63" i="2" l="1"/>
  <c r="C63" i="2" s="1"/>
  <c r="E64" i="2"/>
  <c r="A63" i="2"/>
  <c r="D62" i="2"/>
  <c r="D63" i="2" l="1"/>
  <c r="B64" i="2"/>
  <c r="C64" i="2" s="1"/>
  <c r="A64" i="2"/>
  <c r="E65" i="2"/>
  <c r="D64" i="2" l="1"/>
  <c r="A65" i="2"/>
  <c r="B65" i="2"/>
  <c r="C65" i="2" s="1"/>
  <c r="E66" i="2"/>
  <c r="B66" i="2" l="1"/>
  <c r="C66" i="2" s="1"/>
  <c r="A66" i="2"/>
  <c r="E67" i="2"/>
  <c r="D65" i="2"/>
  <c r="D66" i="2" l="1"/>
  <c r="E68" i="2"/>
  <c r="B67" i="2"/>
  <c r="C67" i="2" s="1"/>
  <c r="A67" i="2"/>
  <c r="B68" i="2" l="1"/>
  <c r="C68" i="2" s="1"/>
  <c r="E69" i="2"/>
  <c r="A68" i="2"/>
  <c r="D67" i="2"/>
  <c r="D68" i="2" l="1"/>
  <c r="B69" i="2"/>
  <c r="C69" i="2" s="1"/>
  <c r="E70" i="2"/>
  <c r="A69" i="2"/>
  <c r="A70" i="2" l="1"/>
  <c r="E71" i="2"/>
  <c r="B70" i="2"/>
  <c r="C70" i="2" s="1"/>
  <c r="D69" i="2"/>
  <c r="B71" i="2" l="1"/>
  <c r="C71" i="2" s="1"/>
  <c r="A71" i="2"/>
  <c r="E72" i="2"/>
  <c r="D70" i="2"/>
  <c r="A72" i="2" l="1"/>
  <c r="E73" i="2"/>
  <c r="B72" i="2"/>
  <c r="C72" i="2" s="1"/>
  <c r="D71" i="2"/>
  <c r="A73" i="2" l="1"/>
  <c r="B73" i="2"/>
  <c r="C73" i="2" s="1"/>
  <c r="E74" i="2"/>
  <c r="D72" i="2"/>
  <c r="E75" i="2" l="1"/>
  <c r="A74" i="2"/>
  <c r="B74" i="2"/>
  <c r="C74" i="2" s="1"/>
  <c r="D73" i="2"/>
  <c r="B75" i="2" l="1"/>
  <c r="C75" i="2" s="1"/>
  <c r="E76" i="2"/>
  <c r="A75" i="2"/>
  <c r="D74" i="2"/>
  <c r="A76" i="2" l="1"/>
  <c r="B76" i="2"/>
  <c r="C76" i="2" s="1"/>
  <c r="E77" i="2"/>
  <c r="D75" i="2"/>
  <c r="A77" i="2" l="1"/>
  <c r="E78" i="2"/>
  <c r="B77" i="2"/>
  <c r="C77" i="2" s="1"/>
  <c r="D76" i="2"/>
  <c r="B78" i="2" l="1"/>
  <c r="C78" i="2" s="1"/>
  <c r="E79" i="2"/>
  <c r="A78" i="2"/>
  <c r="D77" i="2"/>
  <c r="E80" i="2" l="1"/>
  <c r="B79" i="2"/>
  <c r="C79" i="2" s="1"/>
  <c r="A79" i="2"/>
  <c r="D78" i="2"/>
  <c r="D79" i="2" l="1"/>
  <c r="E81" i="2"/>
  <c r="B80" i="2"/>
  <c r="C80" i="2" s="1"/>
  <c r="A80" i="2"/>
  <c r="B81" i="2" l="1"/>
  <c r="C81" i="2" s="1"/>
  <c r="A81" i="2"/>
  <c r="E82" i="2"/>
  <c r="D80" i="2"/>
  <c r="B82" i="2" l="1"/>
  <c r="C82" i="2" s="1"/>
  <c r="E83" i="2"/>
  <c r="A82" i="2"/>
  <c r="D81" i="2"/>
  <c r="D82" i="2" l="1"/>
  <c r="B83" i="2"/>
  <c r="C83" i="2" s="1"/>
  <c r="E84" i="2"/>
  <c r="A83" i="2"/>
  <c r="A84" i="2" l="1"/>
  <c r="E85" i="2"/>
  <c r="B84" i="2"/>
  <c r="C84" i="2" s="1"/>
  <c r="D83" i="2"/>
  <c r="A85" i="2" l="1"/>
  <c r="E86" i="2"/>
  <c r="B85" i="2"/>
  <c r="C85" i="2" s="1"/>
  <c r="D84" i="2"/>
  <c r="B86" i="2" l="1"/>
  <c r="C86" i="2" s="1"/>
  <c r="A86" i="2"/>
  <c r="E87" i="2"/>
  <c r="D85" i="2"/>
  <c r="D86" i="2" l="1"/>
  <c r="B87" i="2"/>
  <c r="C87" i="2" s="1"/>
  <c r="A87" i="2"/>
  <c r="E88" i="2"/>
  <c r="D87" i="2" l="1"/>
  <c r="B88" i="2"/>
  <c r="C88" i="2" s="1"/>
  <c r="A88" i="2"/>
  <c r="E89" i="2"/>
  <c r="A89" i="2" l="1"/>
  <c r="B89" i="2"/>
  <c r="C89" i="2" s="1"/>
  <c r="E90" i="2"/>
  <c r="D88" i="2"/>
  <c r="E91" i="2" l="1"/>
  <c r="A90" i="2"/>
  <c r="B90" i="2"/>
  <c r="C90" i="2" s="1"/>
  <c r="D89" i="2"/>
  <c r="E92" i="2" l="1"/>
  <c r="A91" i="2"/>
  <c r="B91" i="2"/>
  <c r="C91" i="2" s="1"/>
  <c r="D90" i="2"/>
  <c r="B92" i="2" l="1"/>
  <c r="C92" i="2" s="1"/>
  <c r="E93" i="2"/>
  <c r="A92" i="2"/>
  <c r="D91" i="2"/>
  <c r="B93" i="2" l="1"/>
  <c r="C93" i="2" s="1"/>
  <c r="A93" i="2"/>
  <c r="E94" i="2"/>
  <c r="D92" i="2"/>
  <c r="B94" i="2" l="1"/>
  <c r="C94" i="2" s="1"/>
  <c r="A94" i="2"/>
  <c r="E95" i="2"/>
  <c r="D93" i="2"/>
  <c r="A95" i="2" l="1"/>
  <c r="E96" i="2"/>
  <c r="B95" i="2"/>
  <c r="C95" i="2" s="1"/>
  <c r="D94" i="2"/>
  <c r="B96" i="2" l="1"/>
  <c r="C96" i="2" s="1"/>
  <c r="A96" i="2"/>
  <c r="E97" i="2"/>
  <c r="D95" i="2"/>
  <c r="E98" i="2" l="1"/>
  <c r="B97" i="2"/>
  <c r="C97" i="2" s="1"/>
  <c r="A97" i="2"/>
  <c r="D96" i="2"/>
  <c r="D97" i="2" l="1"/>
  <c r="A98" i="2"/>
  <c r="E99" i="2"/>
  <c r="B98" i="2"/>
  <c r="C98" i="2" s="1"/>
  <c r="A99" i="2" l="1"/>
  <c r="B99" i="2"/>
  <c r="C99" i="2" s="1"/>
  <c r="E100" i="2"/>
  <c r="D98" i="2"/>
  <c r="B100" i="2" l="1"/>
  <c r="C100" i="2" s="1"/>
  <c r="A100" i="2"/>
  <c r="E101" i="2"/>
  <c r="D99" i="2"/>
  <c r="D100" i="2" l="1"/>
  <c r="B101" i="2"/>
  <c r="C101" i="2" s="1"/>
  <c r="A101" i="2"/>
  <c r="E102" i="2"/>
  <c r="D101" i="2" l="1"/>
  <c r="A102" i="2"/>
  <c r="B102" i="2"/>
  <c r="C102" i="2" s="1"/>
  <c r="E103" i="2"/>
  <c r="B103" i="2" l="1"/>
  <c r="C103" i="2" s="1"/>
  <c r="A103" i="2"/>
  <c r="E104" i="2"/>
  <c r="D102" i="2"/>
  <c r="B104" i="2" l="1"/>
  <c r="C104" i="2" s="1"/>
  <c r="A104" i="2"/>
  <c r="E105" i="2"/>
  <c r="D103" i="2"/>
  <c r="E106" i="2" l="1"/>
  <c r="A105" i="2"/>
  <c r="B105" i="2"/>
  <c r="C105" i="2" s="1"/>
  <c r="D104" i="2"/>
  <c r="B106" i="2" l="1"/>
  <c r="C106" i="2" s="1"/>
  <c r="E107" i="2"/>
  <c r="A106" i="2"/>
  <c r="D105" i="2"/>
  <c r="E108" i="2" l="1"/>
  <c r="A107" i="2"/>
  <c r="B107" i="2"/>
  <c r="C107" i="2" s="1"/>
  <c r="D106" i="2"/>
  <c r="A108" i="2" l="1"/>
  <c r="B108" i="2"/>
  <c r="C108" i="2" s="1"/>
  <c r="E109" i="2"/>
  <c r="D107" i="2"/>
  <c r="A109" i="2" l="1"/>
  <c r="B109" i="2"/>
  <c r="C109" i="2" s="1"/>
  <c r="E110" i="2"/>
  <c r="D108" i="2"/>
  <c r="B110" i="2" l="1"/>
  <c r="C110" i="2" s="1"/>
  <c r="E111" i="2"/>
  <c r="A110" i="2"/>
  <c r="D109" i="2"/>
  <c r="E112" i="2" l="1"/>
  <c r="B111" i="2"/>
  <c r="C111" i="2" s="1"/>
  <c r="A111" i="2"/>
  <c r="D110" i="2"/>
  <c r="B112" i="2" l="1"/>
  <c r="C112" i="2" s="1"/>
  <c r="A112" i="2"/>
  <c r="E113" i="2"/>
  <c r="D111" i="2"/>
  <c r="A113" i="2" l="1"/>
  <c r="B113" i="2"/>
  <c r="C113" i="2" s="1"/>
  <c r="E114" i="2"/>
  <c r="D112" i="2"/>
  <c r="B114" i="2" l="1"/>
  <c r="C114" i="2" s="1"/>
  <c r="E115" i="2"/>
  <c r="A114" i="2"/>
  <c r="D113" i="2"/>
  <c r="B115" i="2" l="1"/>
  <c r="C115" i="2" s="1"/>
  <c r="E116" i="2"/>
  <c r="A115" i="2"/>
  <c r="D114" i="2"/>
  <c r="A116" i="2" l="1"/>
  <c r="B116" i="2"/>
  <c r="C116" i="2" s="1"/>
  <c r="E117" i="2"/>
  <c r="D115" i="2"/>
  <c r="B117" i="2" l="1"/>
  <c r="C117" i="2" s="1"/>
  <c r="A117" i="2"/>
  <c r="E118" i="2"/>
  <c r="D116" i="2"/>
  <c r="D117" i="2" l="1"/>
  <c r="A118" i="2"/>
  <c r="B118" i="2"/>
  <c r="C118" i="2" s="1"/>
  <c r="E119" i="2"/>
  <c r="A119" i="2" l="1"/>
  <c r="E120" i="2"/>
  <c r="B119" i="2"/>
  <c r="C119" i="2" s="1"/>
  <c r="D118" i="2"/>
  <c r="E121" i="2" l="1"/>
  <c r="A120" i="2"/>
  <c r="B120" i="2"/>
  <c r="C120" i="2" s="1"/>
  <c r="D119" i="2"/>
  <c r="A121" i="2" l="1"/>
  <c r="B121" i="2"/>
  <c r="C121" i="2" s="1"/>
  <c r="E122" i="2"/>
  <c r="D120" i="2"/>
  <c r="B122" i="2" l="1"/>
  <c r="C122" i="2" s="1"/>
  <c r="E123" i="2"/>
  <c r="A122" i="2"/>
  <c r="D121" i="2"/>
  <c r="A123" i="2" l="1"/>
  <c r="B123" i="2"/>
  <c r="C123" i="2" s="1"/>
  <c r="E124" i="2"/>
  <c r="D122" i="2"/>
  <c r="D123" i="2" l="1"/>
  <c r="E125" i="2"/>
  <c r="A124" i="2"/>
  <c r="B124" i="2"/>
  <c r="C124" i="2" s="1"/>
  <c r="E126" i="2" l="1"/>
  <c r="B125" i="2"/>
  <c r="C125" i="2" s="1"/>
  <c r="A125" i="2"/>
  <c r="D124" i="2"/>
  <c r="E127" i="2" l="1"/>
  <c r="B126" i="2"/>
  <c r="C126" i="2" s="1"/>
  <c r="A126" i="2"/>
  <c r="D125" i="2"/>
  <c r="B127" i="2" l="1"/>
  <c r="C127" i="2" s="1"/>
  <c r="E128" i="2"/>
  <c r="A127" i="2"/>
  <c r="D126" i="2"/>
  <c r="E129" i="2" l="1"/>
  <c r="A128" i="2"/>
  <c r="B128" i="2"/>
  <c r="C128" i="2" s="1"/>
  <c r="D127" i="2"/>
  <c r="E130" i="2" l="1"/>
  <c r="A129" i="2"/>
  <c r="B129" i="2"/>
  <c r="C129" i="2" s="1"/>
  <c r="D128" i="2"/>
  <c r="E131" i="2" l="1"/>
  <c r="B130" i="2"/>
  <c r="C130" i="2" s="1"/>
  <c r="A130" i="2"/>
  <c r="D129" i="2"/>
  <c r="A131" i="2" l="1"/>
  <c r="E132" i="2"/>
  <c r="B131" i="2"/>
  <c r="C131" i="2" s="1"/>
  <c r="D130" i="2"/>
  <c r="B132" i="2" l="1"/>
  <c r="C132" i="2" s="1"/>
  <c r="A132" i="2"/>
  <c r="E133" i="2"/>
  <c r="D131" i="2"/>
  <c r="E134" i="2" l="1"/>
  <c r="A133" i="2"/>
  <c r="B133" i="2"/>
  <c r="C133" i="2" s="1"/>
  <c r="D132" i="2"/>
  <c r="E135" i="2" l="1"/>
  <c r="A134" i="2"/>
  <c r="B134" i="2"/>
  <c r="C134" i="2" s="1"/>
  <c r="D133" i="2"/>
  <c r="A135" i="2" l="1"/>
  <c r="B135" i="2"/>
  <c r="C135" i="2" s="1"/>
  <c r="E136" i="2"/>
  <c r="D134" i="2"/>
  <c r="D135" i="2" l="1"/>
  <c r="E137" i="2"/>
  <c r="B136" i="2"/>
  <c r="C136" i="2" s="1"/>
  <c r="A136" i="2"/>
  <c r="B137" i="2" l="1"/>
  <c r="C137" i="2" s="1"/>
  <c r="E138" i="2"/>
  <c r="A137" i="2"/>
  <c r="D136" i="2"/>
  <c r="D137" i="2" l="1"/>
  <c r="E139" i="2"/>
  <c r="B138" i="2"/>
  <c r="C138" i="2" s="1"/>
  <c r="A138" i="2"/>
  <c r="D138" i="2" l="1"/>
  <c r="B139" i="2"/>
  <c r="C139" i="2" s="1"/>
  <c r="A139" i="2"/>
  <c r="E140" i="2"/>
  <c r="B140" i="2" l="1"/>
  <c r="C140" i="2" s="1"/>
  <c r="A140" i="2"/>
  <c r="E141" i="2"/>
  <c r="D139" i="2"/>
  <c r="D140" i="2" l="1"/>
  <c r="A141" i="2"/>
  <c r="E142" i="2"/>
  <c r="B141" i="2"/>
  <c r="C141" i="2" s="1"/>
  <c r="B142" i="2" l="1"/>
  <c r="C142" i="2" s="1"/>
  <c r="E143" i="2"/>
  <c r="A142" i="2"/>
  <c r="D141" i="2"/>
  <c r="D142" i="2" l="1"/>
  <c r="B143" i="2"/>
  <c r="C143" i="2" s="1"/>
  <c r="E144" i="2"/>
  <c r="A143" i="2"/>
  <c r="E145" i="2" l="1"/>
  <c r="B144" i="2"/>
  <c r="C144" i="2" s="1"/>
  <c r="A144" i="2"/>
  <c r="D143" i="2"/>
  <c r="B145" i="2" l="1"/>
  <c r="C145" i="2" s="1"/>
  <c r="E146" i="2"/>
  <c r="A145" i="2"/>
  <c r="D144" i="2"/>
  <c r="E147" i="2" l="1"/>
  <c r="A146" i="2"/>
  <c r="B146" i="2"/>
  <c r="C146" i="2" s="1"/>
  <c r="D145" i="2"/>
  <c r="B147" i="2" l="1"/>
  <c r="C147" i="2" s="1"/>
  <c r="E148" i="2"/>
  <c r="A147" i="2"/>
  <c r="D146" i="2"/>
  <c r="B148" i="2" l="1"/>
  <c r="C148" i="2" s="1"/>
  <c r="A148" i="2"/>
  <c r="E149" i="2"/>
  <c r="D147" i="2"/>
  <c r="D148" i="2" l="1"/>
  <c r="A149" i="2"/>
  <c r="E150" i="2"/>
  <c r="B149" i="2"/>
  <c r="C149" i="2" s="1"/>
  <c r="B150" i="2" l="1"/>
  <c r="C150" i="2" s="1"/>
  <c r="E151" i="2"/>
  <c r="A150" i="2"/>
  <c r="D149" i="2"/>
  <c r="B151" i="2" l="1"/>
  <c r="C151" i="2" s="1"/>
  <c r="E152" i="2"/>
  <c r="A151" i="2"/>
  <c r="D150" i="2"/>
  <c r="A152" i="2" l="1"/>
  <c r="B152" i="2"/>
  <c r="C152" i="2" s="1"/>
  <c r="E153" i="2"/>
  <c r="D151" i="2"/>
  <c r="E154" i="2" l="1"/>
  <c r="A153" i="2"/>
  <c r="B153" i="2"/>
  <c r="C153" i="2" s="1"/>
  <c r="D152" i="2"/>
  <c r="A154" i="2" l="1"/>
  <c r="B154" i="2"/>
  <c r="C154" i="2" s="1"/>
  <c r="E155" i="2"/>
  <c r="D153" i="2"/>
  <c r="E156" i="2" l="1"/>
  <c r="B155" i="2"/>
  <c r="C155" i="2" s="1"/>
  <c r="A155" i="2"/>
  <c r="D154" i="2"/>
  <c r="D155" i="2" l="1"/>
  <c r="B156" i="2"/>
  <c r="C156" i="2" s="1"/>
  <c r="A156" i="2"/>
  <c r="E157" i="2"/>
  <c r="D156" i="2" l="1"/>
  <c r="E158" i="2"/>
  <c r="B157" i="2"/>
  <c r="C157" i="2" s="1"/>
  <c r="A157" i="2"/>
  <c r="E159" i="2" l="1"/>
  <c r="A158" i="2"/>
  <c r="B158" i="2"/>
  <c r="C158" i="2" s="1"/>
  <c r="D157" i="2"/>
  <c r="B159" i="2" l="1"/>
  <c r="C159" i="2" s="1"/>
  <c r="E160" i="2"/>
  <c r="A159" i="2"/>
  <c r="D158" i="2"/>
  <c r="E161" i="2" l="1"/>
  <c r="A160" i="2"/>
  <c r="B160" i="2"/>
  <c r="C160" i="2" s="1"/>
  <c r="D159" i="2"/>
  <c r="B161" i="2" l="1"/>
  <c r="C161" i="2" s="1"/>
  <c r="E162" i="2"/>
  <c r="A161" i="2"/>
  <c r="D160" i="2"/>
  <c r="A162" i="2" l="1"/>
  <c r="E163" i="2"/>
  <c r="B162" i="2"/>
  <c r="C162" i="2" s="1"/>
  <c r="D161" i="2"/>
  <c r="B163" i="2" l="1"/>
  <c r="C163" i="2" s="1"/>
  <c r="E164" i="2"/>
  <c r="A163" i="2"/>
  <c r="D162" i="2"/>
  <c r="D163" i="2" l="1"/>
  <c r="A164" i="2"/>
  <c r="E165" i="2"/>
  <c r="B164" i="2"/>
  <c r="C164" i="2" s="1"/>
  <c r="D164" i="2" l="1"/>
  <c r="A165" i="2"/>
  <c r="B165" i="2"/>
  <c r="C165" i="2" s="1"/>
  <c r="E166" i="2"/>
  <c r="B166" i="2" l="1"/>
  <c r="C166" i="2" s="1"/>
  <c r="E167" i="2"/>
  <c r="A166" i="2"/>
  <c r="D165" i="2"/>
  <c r="A167" i="2" l="1"/>
  <c r="E168" i="2"/>
  <c r="B167" i="2"/>
  <c r="C167" i="2" s="1"/>
  <c r="D166" i="2"/>
  <c r="B168" i="2" l="1"/>
  <c r="C168" i="2" s="1"/>
  <c r="E169" i="2"/>
  <c r="A168" i="2"/>
  <c r="D167" i="2"/>
  <c r="D168" i="2" l="1"/>
  <c r="B169" i="2"/>
  <c r="C169" i="2" s="1"/>
  <c r="E170" i="2"/>
  <c r="A169" i="2"/>
  <c r="D169" i="2" l="1"/>
  <c r="E171" i="2"/>
  <c r="B170" i="2"/>
  <c r="C170" i="2" s="1"/>
  <c r="A170" i="2"/>
  <c r="D170" i="2" l="1"/>
  <c r="A171" i="2"/>
  <c r="B171" i="2"/>
  <c r="C171" i="2" s="1"/>
  <c r="E172" i="2"/>
  <c r="D171" i="2" l="1"/>
  <c r="B172" i="2"/>
  <c r="C172" i="2" s="1"/>
  <c r="A172" i="2"/>
  <c r="E173" i="2"/>
  <c r="B173" i="2" l="1"/>
  <c r="C173" i="2" s="1"/>
  <c r="E174" i="2"/>
  <c r="A173" i="2"/>
  <c r="D172" i="2"/>
  <c r="A174" i="2" l="1"/>
  <c r="B174" i="2"/>
  <c r="C174" i="2" s="1"/>
  <c r="E175" i="2"/>
  <c r="D173" i="2"/>
  <c r="D174" i="2" l="1"/>
  <c r="E176" i="2"/>
  <c r="A175" i="2"/>
  <c r="B175" i="2"/>
  <c r="C175" i="2" s="1"/>
  <c r="B176" i="2" l="1"/>
  <c r="C176" i="2" s="1"/>
  <c r="E177" i="2"/>
  <c r="A176" i="2"/>
  <c r="D175" i="2"/>
  <c r="E178" i="2" l="1"/>
  <c r="A177" i="2"/>
  <c r="B177" i="2"/>
  <c r="C177" i="2" s="1"/>
  <c r="D176" i="2"/>
  <c r="B178" i="2" l="1"/>
  <c r="C178" i="2" s="1"/>
  <c r="E179" i="2"/>
  <c r="A178" i="2"/>
  <c r="D177" i="2"/>
  <c r="D178" i="2" l="1"/>
  <c r="B179" i="2"/>
  <c r="C179" i="2" s="1"/>
  <c r="A179" i="2"/>
  <c r="E180" i="2"/>
  <c r="E181" i="2" l="1"/>
  <c r="A180" i="2"/>
  <c r="B180" i="2"/>
  <c r="C180" i="2" s="1"/>
  <c r="D179" i="2"/>
  <c r="B181" i="2" l="1"/>
  <c r="C181" i="2" s="1"/>
  <c r="E182" i="2"/>
  <c r="A181" i="2"/>
  <c r="D180" i="2"/>
  <c r="A182" i="2" l="1"/>
  <c r="B182" i="2"/>
  <c r="C182" i="2" s="1"/>
  <c r="E183" i="2"/>
  <c r="D181" i="2"/>
  <c r="E184" i="2" l="1"/>
  <c r="A183" i="2"/>
  <c r="B183" i="2"/>
  <c r="C183" i="2" s="1"/>
  <c r="D182" i="2"/>
  <c r="E185" i="2" l="1"/>
  <c r="B184" i="2"/>
  <c r="C184" i="2" s="1"/>
  <c r="A184" i="2"/>
  <c r="D183" i="2"/>
  <c r="D184" i="2" l="1"/>
  <c r="B185" i="2"/>
  <c r="C185" i="2" s="1"/>
  <c r="A185" i="2"/>
  <c r="E186" i="2"/>
  <c r="B186" i="2" l="1"/>
  <c r="C186" i="2" s="1"/>
  <c r="A186" i="2"/>
  <c r="E187" i="2"/>
  <c r="D185" i="2"/>
  <c r="A187" i="2" l="1"/>
  <c r="B187" i="2"/>
  <c r="C187" i="2" s="1"/>
  <c r="E188" i="2"/>
  <c r="D186" i="2"/>
  <c r="A188" i="2" l="1"/>
  <c r="B188" i="2"/>
  <c r="C188" i="2" s="1"/>
  <c r="E189" i="2"/>
  <c r="D187" i="2"/>
  <c r="D188" i="2" l="1"/>
  <c r="B189" i="2"/>
  <c r="C189" i="2" s="1"/>
  <c r="E190" i="2"/>
  <c r="A189" i="2"/>
  <c r="E191" i="2" l="1"/>
  <c r="B190" i="2"/>
  <c r="C190" i="2" s="1"/>
  <c r="A190" i="2"/>
  <c r="D189" i="2"/>
  <c r="B191" i="2" l="1"/>
  <c r="C191" i="2" s="1"/>
  <c r="E192" i="2"/>
  <c r="A191" i="2"/>
  <c r="D190" i="2"/>
  <c r="E193" i="2" l="1"/>
  <c r="B192" i="2"/>
  <c r="C192" i="2" s="1"/>
  <c r="A192" i="2"/>
  <c r="D191" i="2"/>
  <c r="B193" i="2" l="1"/>
  <c r="C193" i="2" s="1"/>
  <c r="E194" i="2"/>
  <c r="A193" i="2"/>
  <c r="D192" i="2"/>
  <c r="E195" i="2" l="1"/>
  <c r="B194" i="2"/>
  <c r="C194" i="2" s="1"/>
  <c r="A194" i="2"/>
  <c r="D193" i="2"/>
  <c r="J29" i="5" a="1"/>
  <c r="D194" i="2" l="1"/>
  <c r="A195" i="2"/>
  <c r="B195" i="2"/>
  <c r="C195" i="2" s="1"/>
  <c r="E196" i="2"/>
  <c r="J29" i="5"/>
  <c r="E197" i="2" l="1"/>
  <c r="A196" i="2"/>
  <c r="B196" i="2"/>
  <c r="C196" i="2" s="1"/>
  <c r="D195" i="2"/>
  <c r="B197" i="2" l="1"/>
  <c r="C197" i="2" s="1"/>
  <c r="A197" i="2"/>
  <c r="E198" i="2"/>
  <c r="D196" i="2"/>
  <c r="A198" i="2" l="1"/>
  <c r="E199" i="2"/>
  <c r="B198" i="2"/>
  <c r="C198" i="2" s="1"/>
  <c r="D197" i="2"/>
  <c r="B199" i="2" l="1"/>
  <c r="C199" i="2" s="1"/>
  <c r="A199" i="2"/>
  <c r="E200" i="2"/>
  <c r="D198" i="2"/>
  <c r="A200" i="2" l="1"/>
  <c r="E201" i="2"/>
  <c r="B200" i="2"/>
  <c r="C200" i="2" s="1"/>
  <c r="D199" i="2"/>
  <c r="B201" i="2" l="1"/>
  <c r="C201" i="2" s="1"/>
  <c r="A201" i="2"/>
  <c r="E202" i="2"/>
  <c r="D200" i="2"/>
  <c r="A202" i="2" l="1"/>
  <c r="B202" i="2"/>
  <c r="C202" i="2" s="1"/>
  <c r="E203" i="2"/>
  <c r="D201" i="2"/>
  <c r="B203" i="2" l="1"/>
  <c r="C203" i="2" s="1"/>
  <c r="E204" i="2"/>
  <c r="A203" i="2"/>
  <c r="D202" i="2"/>
  <c r="A204" i="2" l="1"/>
  <c r="B204" i="2"/>
  <c r="C204" i="2" s="1"/>
  <c r="E205" i="2"/>
  <c r="D203" i="2"/>
  <c r="A205" i="2" l="1"/>
  <c r="B205" i="2"/>
  <c r="C205" i="2" s="1"/>
  <c r="E206" i="2"/>
  <c r="D204" i="2"/>
  <c r="B206" i="2" l="1"/>
  <c r="C206" i="2" s="1"/>
  <c r="E207" i="2"/>
  <c r="A206" i="2"/>
  <c r="D205" i="2"/>
  <c r="A207" i="2" l="1"/>
  <c r="E208" i="2"/>
  <c r="B207" i="2"/>
  <c r="C207" i="2" s="1"/>
  <c r="D206" i="2"/>
  <c r="E209" i="2" l="1"/>
  <c r="A208" i="2"/>
  <c r="B208" i="2"/>
  <c r="C208" i="2" s="1"/>
  <c r="D207" i="2"/>
  <c r="E210" i="2" l="1"/>
  <c r="B209" i="2"/>
  <c r="C209" i="2" s="1"/>
  <c r="A209" i="2"/>
  <c r="D208" i="2"/>
  <c r="B210" i="2" l="1"/>
  <c r="C210" i="2" s="1"/>
  <c r="A210" i="2"/>
  <c r="E211" i="2"/>
  <c r="D209" i="2"/>
  <c r="D210" i="2" l="1"/>
  <c r="E212" i="2"/>
  <c r="A211" i="2"/>
  <c r="B211" i="2"/>
  <c r="C211" i="2" s="1"/>
  <c r="A212" i="2" l="1"/>
  <c r="E213" i="2"/>
  <c r="B212" i="2"/>
  <c r="C212" i="2" s="1"/>
  <c r="D211" i="2"/>
  <c r="C89" i="1" s="1"/>
  <c r="A213" i="2" l="1"/>
  <c r="B213" i="2"/>
  <c r="C213" i="2" s="1"/>
  <c r="E214" i="2"/>
  <c r="E93" i="1"/>
  <c r="F89" i="1"/>
  <c r="C94" i="1"/>
  <c r="H89" i="1"/>
  <c r="F91" i="1" s="1"/>
  <c r="H90" i="1" s="1"/>
  <c r="L90" i="1" s="1"/>
  <c r="G92" i="1" s="1"/>
  <c r="H92" i="1" s="1"/>
  <c r="J92" i="1" s="1"/>
  <c r="D212" i="2"/>
  <c r="E215" i="2" l="1"/>
  <c r="A214" i="2"/>
  <c r="B214" i="2"/>
  <c r="C214" i="2" s="1"/>
  <c r="B99" i="1"/>
  <c r="C101" i="1"/>
  <c r="H94" i="1"/>
  <c r="F96" i="1" s="1"/>
  <c r="H95" i="1" s="1"/>
  <c r="L95" i="1" s="1"/>
  <c r="G97" i="1" s="1"/>
  <c r="H97" i="1" s="1"/>
  <c r="J97" i="1" s="1"/>
  <c r="E106" i="1"/>
  <c r="F94" i="1"/>
  <c r="E98" i="1"/>
  <c r="B100" i="1"/>
  <c r="D213" i="2"/>
  <c r="E216" i="2" l="1"/>
  <c r="B215" i="2"/>
  <c r="C215" i="2" s="1"/>
  <c r="A215" i="2"/>
  <c r="H101" i="1"/>
  <c r="F103" i="1" s="1"/>
  <c r="H102" i="1" s="1"/>
  <c r="L102" i="1" s="1"/>
  <c r="G105" i="1" s="1"/>
  <c r="H105" i="1" s="1"/>
  <c r="F101" i="1"/>
  <c r="I36" i="2"/>
  <c r="D214" i="2"/>
  <c r="D215" i="2" l="1"/>
  <c r="E217" i="2"/>
  <c r="B216" i="2"/>
  <c r="C216" i="2" s="1"/>
  <c r="A216" i="2"/>
  <c r="K1" i="1"/>
  <c r="B107" i="1"/>
  <c r="T55" i="1"/>
  <c r="J105" i="1"/>
  <c r="I206" i="2"/>
  <c r="I176" i="2"/>
  <c r="I254" i="2"/>
  <c r="I356" i="2"/>
  <c r="I44" i="2"/>
  <c r="I142" i="2"/>
  <c r="I148" i="2"/>
  <c r="I250" i="2"/>
  <c r="I171" i="2"/>
  <c r="I186" i="2"/>
  <c r="I164" i="2"/>
  <c r="I150" i="2"/>
  <c r="I141" i="2"/>
  <c r="I168" i="2"/>
  <c r="I295" i="2"/>
  <c r="I292" i="2"/>
  <c r="I320" i="2"/>
  <c r="I352" i="2"/>
  <c r="I60" i="2"/>
  <c r="I89" i="2"/>
  <c r="I195" i="2"/>
  <c r="I381" i="2"/>
  <c r="I248" i="2"/>
  <c r="I179" i="2"/>
  <c r="I232" i="2"/>
  <c r="I239" i="2"/>
  <c r="I374" i="2"/>
  <c r="I350" i="2"/>
  <c r="I230" i="2"/>
  <c r="I78" i="2"/>
  <c r="I312" i="2"/>
  <c r="I190" i="2"/>
  <c r="I302" i="2"/>
  <c r="I151" i="2"/>
  <c r="I244" i="2"/>
  <c r="I299" i="2"/>
  <c r="I116" i="2"/>
  <c r="I329" i="2"/>
  <c r="I156" i="2"/>
  <c r="I54" i="2"/>
  <c r="I140" i="2"/>
  <c r="I192" i="2"/>
  <c r="I193" i="2"/>
  <c r="I317" i="2"/>
  <c r="I326" i="2"/>
  <c r="I41" i="2"/>
  <c r="I104" i="2"/>
  <c r="I261" i="2"/>
  <c r="I161" i="2"/>
  <c r="I194" i="2"/>
  <c r="I65" i="2"/>
  <c r="I99" i="2"/>
  <c r="I172" i="2"/>
  <c r="I97" i="2"/>
  <c r="I242" i="2"/>
  <c r="I298" i="2"/>
  <c r="I278" i="2"/>
  <c r="I121" i="2"/>
  <c r="I94" i="2"/>
  <c r="I339" i="2"/>
  <c r="I304" i="2"/>
  <c r="I375" i="2"/>
  <c r="I236" i="2"/>
  <c r="I321" i="2"/>
  <c r="I262" i="2"/>
  <c r="I122" i="2"/>
  <c r="I205" i="2"/>
  <c r="I85" i="2"/>
  <c r="I286" i="2"/>
  <c r="I149" i="2"/>
  <c r="I246" i="2"/>
  <c r="I131" i="2"/>
  <c r="I316" i="2"/>
  <c r="I135" i="2"/>
  <c r="I383" i="2"/>
  <c r="I249" i="2"/>
  <c r="I336" i="2"/>
  <c r="I282" i="2"/>
  <c r="I69" i="2"/>
  <c r="I208" i="2"/>
  <c r="I331" i="2"/>
  <c r="I222" i="2"/>
  <c r="I219" i="2"/>
  <c r="I125" i="2"/>
  <c r="I132" i="2"/>
  <c r="I265" i="2"/>
  <c r="I330" i="2"/>
  <c r="I118" i="2"/>
  <c r="I303" i="2"/>
  <c r="I157" i="2"/>
  <c r="I243" i="2"/>
  <c r="I143" i="2"/>
  <c r="I310" i="2"/>
  <c r="I319" i="2"/>
  <c r="I71" i="2"/>
  <c r="I212" i="2"/>
  <c r="I226" i="2"/>
  <c r="I162" i="2"/>
  <c r="I289" i="2"/>
  <c r="I166" i="2"/>
  <c r="I225" i="2"/>
  <c r="I201" i="2"/>
  <c r="I267" i="2"/>
  <c r="I63" i="2"/>
  <c r="I234" i="2"/>
  <c r="I257" i="2"/>
  <c r="I268" i="2"/>
  <c r="I105" i="2"/>
  <c r="I169" i="2"/>
  <c r="I120" i="2"/>
  <c r="I315" i="2"/>
  <c r="I128" i="2"/>
  <c r="I136" i="2"/>
  <c r="I137" i="2"/>
  <c r="I363" i="2"/>
  <c r="I146" i="2"/>
  <c r="I203" i="2"/>
  <c r="I382" i="2"/>
  <c r="I259" i="2"/>
  <c r="I367" i="2"/>
  <c r="I233" i="2"/>
  <c r="I154" i="2"/>
  <c r="I276" i="2"/>
  <c r="I68" i="2"/>
  <c r="I272" i="2"/>
  <c r="I144" i="2"/>
  <c r="I342" i="2"/>
  <c r="I178" i="2"/>
  <c r="I53" i="2"/>
  <c r="I93" i="2"/>
  <c r="I39" i="2"/>
  <c r="I75" i="2"/>
  <c r="I199" i="2"/>
  <c r="I117" i="2"/>
  <c r="I204" i="2"/>
  <c r="I82" i="2"/>
  <c r="I84" i="2"/>
  <c r="I300" i="2"/>
  <c r="I372" i="2"/>
  <c r="I334" i="2"/>
  <c r="I83" i="2"/>
  <c r="I110" i="2"/>
  <c r="I322" i="2"/>
  <c r="I345" i="2"/>
  <c r="I258" i="2"/>
  <c r="I264" i="2"/>
  <c r="I344" i="2"/>
  <c r="I371" i="2"/>
  <c r="I281" i="2"/>
  <c r="I159" i="2"/>
  <c r="I223" i="2"/>
  <c r="I158" i="2"/>
  <c r="I359" i="2"/>
  <c r="I90" i="2"/>
  <c r="I207" i="2"/>
  <c r="I130" i="2"/>
  <c r="I152" i="2"/>
  <c r="I211" i="2"/>
  <c r="I109" i="2"/>
  <c r="I182" i="2"/>
  <c r="I294" i="2"/>
  <c r="I177" i="2"/>
  <c r="I185" i="2"/>
  <c r="I58" i="2"/>
  <c r="I112" i="2"/>
  <c r="I237" i="2"/>
  <c r="I318" i="2"/>
  <c r="I95" i="2"/>
  <c r="I108" i="2"/>
  <c r="I209" i="2"/>
  <c r="I273" i="2"/>
  <c r="I314" i="2"/>
  <c r="I38" i="2"/>
  <c r="I80" i="2"/>
  <c r="I165" i="2"/>
  <c r="I305" i="2"/>
  <c r="I163" i="2"/>
  <c r="I358" i="2"/>
  <c r="I235" i="2"/>
  <c r="I127" i="2"/>
  <c r="I147" i="2"/>
  <c r="I288" i="2"/>
  <c r="I290" i="2"/>
  <c r="I241" i="2"/>
  <c r="I103" i="2"/>
  <c r="I184" i="2"/>
  <c r="I353" i="2"/>
  <c r="I228" i="2"/>
  <c r="I170" i="2"/>
  <c r="I296" i="2"/>
  <c r="I362" i="2"/>
  <c r="I333" i="2"/>
  <c r="I354" i="2"/>
  <c r="I183" i="2"/>
  <c r="I100" i="2"/>
  <c r="I66" i="2"/>
  <c r="I229" i="2"/>
  <c r="I338" i="2"/>
  <c r="I111" i="2"/>
  <c r="I327" i="2"/>
  <c r="I196" i="2"/>
  <c r="I370" i="2"/>
  <c r="I51" i="2"/>
  <c r="I332" i="2"/>
  <c r="I167" i="2"/>
  <c r="I365" i="2"/>
  <c r="I181" i="2"/>
  <c r="I74" i="2"/>
  <c r="I155" i="2"/>
  <c r="I113" i="2"/>
  <c r="I297" i="2"/>
  <c r="I293" i="2"/>
  <c r="I285" i="2"/>
  <c r="I266" i="2"/>
  <c r="I270" i="2"/>
  <c r="I50" i="2"/>
  <c r="I123" i="2"/>
  <c r="I56" i="2"/>
  <c r="I301" i="2"/>
  <c r="I72" i="2"/>
  <c r="I64" i="2"/>
  <c r="I247" i="2"/>
  <c r="I210" i="2"/>
  <c r="I269" i="2"/>
  <c r="I106" i="2"/>
  <c r="I369" i="2"/>
  <c r="I224" i="2"/>
  <c r="I361" i="2"/>
  <c r="I173" i="2"/>
  <c r="I59" i="2"/>
  <c r="I126" i="2"/>
  <c r="I81" i="2"/>
  <c r="I191" i="2"/>
  <c r="I101" i="2"/>
  <c r="I67" i="2"/>
  <c r="I373" i="2"/>
  <c r="I200" i="2"/>
  <c r="I379" i="2"/>
  <c r="I366" i="2"/>
  <c r="I337" i="2"/>
  <c r="I284" i="2"/>
  <c r="I48" i="2"/>
  <c r="I46" i="2"/>
  <c r="I115" i="2"/>
  <c r="I325" i="2"/>
  <c r="I360" i="2"/>
  <c r="I213" i="2"/>
  <c r="I238" i="2"/>
  <c r="I114" i="2"/>
  <c r="I311" i="2"/>
  <c r="I227" i="2"/>
  <c r="I40" i="2"/>
  <c r="I145" i="2"/>
  <c r="I188" i="2"/>
  <c r="I323" i="2"/>
  <c r="I91" i="2"/>
  <c r="I180" i="2"/>
  <c r="I197" i="2"/>
  <c r="I79" i="2"/>
  <c r="I376" i="2"/>
  <c r="I119" i="2"/>
  <c r="I42" i="2"/>
  <c r="I313" i="2"/>
  <c r="I251" i="2"/>
  <c r="I364" i="2"/>
  <c r="I88" i="2"/>
  <c r="I124" i="2"/>
  <c r="I357" i="2"/>
  <c r="I275" i="2"/>
  <c r="I189" i="2"/>
  <c r="I102" i="2"/>
  <c r="I347" i="2"/>
  <c r="I134" i="2"/>
  <c r="I309" i="2"/>
  <c r="I271" i="2"/>
  <c r="I77" i="2"/>
  <c r="I215" i="2"/>
  <c r="I349" i="2"/>
  <c r="I217" i="2"/>
  <c r="I73" i="2"/>
  <c r="I324" i="2"/>
  <c r="I341" i="2"/>
  <c r="I335" i="2"/>
  <c r="I260" i="2"/>
  <c r="I291" i="2"/>
  <c r="I306" i="2"/>
  <c r="I346" i="2"/>
  <c r="I384" i="2"/>
  <c r="I214" i="2"/>
  <c r="I253" i="2"/>
  <c r="I98" i="2"/>
  <c r="I245" i="2"/>
  <c r="I76" i="2"/>
  <c r="I283" i="2"/>
  <c r="I216" i="2"/>
  <c r="I378" i="2"/>
  <c r="I256" i="2"/>
  <c r="I355" i="2"/>
  <c r="I87" i="2"/>
  <c r="I129" i="2"/>
  <c r="I202" i="2"/>
  <c r="I70" i="2"/>
  <c r="I133" i="2"/>
  <c r="I175" i="2"/>
  <c r="I62" i="2"/>
  <c r="I187" i="2"/>
  <c r="I61" i="2"/>
  <c r="I343" i="2"/>
  <c r="I43" i="2"/>
  <c r="I86" i="2"/>
  <c r="I96" i="2"/>
  <c r="I218" i="2"/>
  <c r="I220" i="2"/>
  <c r="I277" i="2"/>
  <c r="I380" i="2"/>
  <c r="I280" i="2"/>
  <c r="I153" i="2"/>
  <c r="I279" i="2"/>
  <c r="I107" i="2"/>
  <c r="I174" i="2"/>
  <c r="I340" i="2"/>
  <c r="I49" i="2"/>
  <c r="I274" i="2"/>
  <c r="I138" i="2"/>
  <c r="I240" i="2"/>
  <c r="I57" i="2"/>
  <c r="I47" i="2"/>
  <c r="I287" i="2"/>
  <c r="I377" i="2"/>
  <c r="I307" i="2"/>
  <c r="I139" i="2"/>
  <c r="I92" i="2"/>
  <c r="I252" i="2"/>
  <c r="I231" i="2"/>
  <c r="I328" i="2"/>
  <c r="I368" i="2"/>
  <c r="I308" i="2"/>
  <c r="I351" i="2"/>
  <c r="I221" i="2"/>
  <c r="I160" i="2"/>
  <c r="I52" i="2"/>
  <c r="I255" i="2"/>
  <c r="I263" i="2"/>
  <c r="I348" i="2"/>
  <c r="I198" i="2"/>
  <c r="I45" i="2"/>
  <c r="I55" i="2"/>
  <c r="C110" i="1"/>
  <c r="D216" i="2" l="1"/>
  <c r="E218" i="2"/>
  <c r="A217" i="2"/>
  <c r="B217" i="2"/>
  <c r="C217" i="2" s="1"/>
  <c r="J206" i="2"/>
  <c r="K206" i="2" s="1"/>
  <c r="G206" i="2"/>
  <c r="G176" i="2"/>
  <c r="J176" i="2"/>
  <c r="K176" i="2" s="1"/>
  <c r="G254" i="2"/>
  <c r="J254" i="2"/>
  <c r="K254" i="2" s="1"/>
  <c r="G356" i="2"/>
  <c r="J356" i="2"/>
  <c r="K356" i="2" s="1"/>
  <c r="J44" i="2"/>
  <c r="K44" i="2" s="1"/>
  <c r="G44" i="2"/>
  <c r="G142" i="2"/>
  <c r="J142" i="2"/>
  <c r="K142" i="2" s="1"/>
  <c r="J148" i="2"/>
  <c r="K148" i="2" s="1"/>
  <c r="G148" i="2"/>
  <c r="G250" i="2"/>
  <c r="J250" i="2"/>
  <c r="K250" i="2" s="1"/>
  <c r="J171" i="2"/>
  <c r="K171" i="2" s="1"/>
  <c r="G171" i="2"/>
  <c r="J186" i="2"/>
  <c r="K186" i="2" s="1"/>
  <c r="G186" i="2"/>
  <c r="G164" i="2"/>
  <c r="J164" i="2"/>
  <c r="K164" i="2" s="1"/>
  <c r="J150" i="2"/>
  <c r="K150" i="2" s="1"/>
  <c r="G150" i="2"/>
  <c r="J141" i="2"/>
  <c r="K141" i="2" s="1"/>
  <c r="G141" i="2"/>
  <c r="G168" i="2"/>
  <c r="J168" i="2"/>
  <c r="K168" i="2" s="1"/>
  <c r="G295" i="2"/>
  <c r="J295" i="2"/>
  <c r="K295" i="2" s="1"/>
  <c r="J292" i="2"/>
  <c r="K292" i="2" s="1"/>
  <c r="G292" i="2"/>
  <c r="G320" i="2"/>
  <c r="J320" i="2"/>
  <c r="K320" i="2" s="1"/>
  <c r="J352" i="2"/>
  <c r="K352" i="2" s="1"/>
  <c r="G352" i="2"/>
  <c r="J60" i="2"/>
  <c r="K60" i="2" s="1"/>
  <c r="G60" i="2"/>
  <c r="J89" i="2"/>
  <c r="K89" i="2" s="1"/>
  <c r="G89" i="2"/>
  <c r="G195" i="2"/>
  <c r="J195" i="2"/>
  <c r="K195" i="2" s="1"/>
  <c r="J381" i="2"/>
  <c r="K381" i="2" s="1"/>
  <c r="G381" i="2"/>
  <c r="J248" i="2"/>
  <c r="K248" i="2" s="1"/>
  <c r="G248" i="2"/>
  <c r="G179" i="2"/>
  <c r="J179" i="2"/>
  <c r="K179" i="2" s="1"/>
  <c r="J232" i="2"/>
  <c r="K232" i="2" s="1"/>
  <c r="G232" i="2"/>
  <c r="J239" i="2"/>
  <c r="K239" i="2" s="1"/>
  <c r="G239" i="2"/>
  <c r="J374" i="2"/>
  <c r="K374" i="2" s="1"/>
  <c r="G374" i="2"/>
  <c r="J350" i="2"/>
  <c r="K350" i="2" s="1"/>
  <c r="G350" i="2"/>
  <c r="G230" i="2"/>
  <c r="J230" i="2"/>
  <c r="K230" i="2" s="1"/>
  <c r="J78" i="2"/>
  <c r="K78" i="2" s="1"/>
  <c r="G78" i="2"/>
  <c r="J312" i="2"/>
  <c r="K312" i="2" s="1"/>
  <c r="G312" i="2"/>
  <c r="G190" i="2"/>
  <c r="J190" i="2"/>
  <c r="K190" i="2" s="1"/>
  <c r="G302" i="2"/>
  <c r="J302" i="2"/>
  <c r="K302" i="2" s="1"/>
  <c r="J151" i="2"/>
  <c r="K151" i="2" s="1"/>
  <c r="G151" i="2"/>
  <c r="J244" i="2"/>
  <c r="K244" i="2" s="1"/>
  <c r="G244" i="2"/>
  <c r="J299" i="2"/>
  <c r="K299" i="2" s="1"/>
  <c r="G299" i="2"/>
  <c r="G116" i="2"/>
  <c r="J116" i="2"/>
  <c r="K116" i="2" s="1"/>
  <c r="G329" i="2"/>
  <c r="J329" i="2"/>
  <c r="K329" i="2" s="1"/>
  <c r="G156" i="2"/>
  <c r="J156" i="2"/>
  <c r="K156" i="2" s="1"/>
  <c r="J54" i="2"/>
  <c r="K54" i="2" s="1"/>
  <c r="G54" i="2"/>
  <c r="J140" i="2"/>
  <c r="K140" i="2" s="1"/>
  <c r="G140" i="2"/>
  <c r="J192" i="2"/>
  <c r="K192" i="2" s="1"/>
  <c r="G192" i="2"/>
  <c r="J193" i="2"/>
  <c r="K193" i="2" s="1"/>
  <c r="G193" i="2"/>
  <c r="G317" i="2"/>
  <c r="J317" i="2"/>
  <c r="K317" i="2" s="1"/>
  <c r="G326" i="2"/>
  <c r="J326" i="2"/>
  <c r="K326" i="2" s="1"/>
  <c r="J41" i="2"/>
  <c r="K41" i="2" s="1"/>
  <c r="G41" i="2"/>
  <c r="G104" i="2"/>
  <c r="J104" i="2"/>
  <c r="K104" i="2" s="1"/>
  <c r="G261" i="2"/>
  <c r="J261" i="2"/>
  <c r="K261" i="2" s="1"/>
  <c r="J161" i="2"/>
  <c r="K161" i="2" s="1"/>
  <c r="G161" i="2"/>
  <c r="J194" i="2"/>
  <c r="K194" i="2" s="1"/>
  <c r="G194" i="2"/>
  <c r="J65" i="2"/>
  <c r="K65" i="2" s="1"/>
  <c r="G65" i="2"/>
  <c r="J99" i="2"/>
  <c r="K99" i="2" s="1"/>
  <c r="G99" i="2"/>
  <c r="G172" i="2"/>
  <c r="J172" i="2"/>
  <c r="K172" i="2" s="1"/>
  <c r="G97" i="2"/>
  <c r="J97" i="2"/>
  <c r="K97" i="2" s="1"/>
  <c r="G242" i="2"/>
  <c r="J242" i="2"/>
  <c r="K242" i="2" s="1"/>
  <c r="J298" i="2"/>
  <c r="K298" i="2" s="1"/>
  <c r="G298" i="2"/>
  <c r="G278" i="2"/>
  <c r="J278" i="2"/>
  <c r="K278" i="2" s="1"/>
  <c r="J121" i="2"/>
  <c r="K121" i="2" s="1"/>
  <c r="G121" i="2"/>
  <c r="G94" i="2"/>
  <c r="J94" i="2"/>
  <c r="K94" i="2" s="1"/>
  <c r="J339" i="2"/>
  <c r="K339" i="2" s="1"/>
  <c r="G339" i="2"/>
  <c r="J304" i="2"/>
  <c r="K304" i="2" s="1"/>
  <c r="G304" i="2"/>
  <c r="G375" i="2"/>
  <c r="J375" i="2"/>
  <c r="K375" i="2" s="1"/>
  <c r="J236" i="2"/>
  <c r="K236" i="2" s="1"/>
  <c r="G236" i="2"/>
  <c r="J321" i="2"/>
  <c r="K321" i="2" s="1"/>
  <c r="G321" i="2"/>
  <c r="J262" i="2"/>
  <c r="K262" i="2" s="1"/>
  <c r="G262" i="2"/>
  <c r="G122" i="2"/>
  <c r="J122" i="2"/>
  <c r="K122" i="2" s="1"/>
  <c r="G205" i="2"/>
  <c r="J205" i="2"/>
  <c r="K205" i="2" s="1"/>
  <c r="J85" i="2"/>
  <c r="K85" i="2" s="1"/>
  <c r="G85" i="2"/>
  <c r="J286" i="2"/>
  <c r="K286" i="2" s="1"/>
  <c r="G286" i="2"/>
  <c r="J149" i="2"/>
  <c r="K149" i="2" s="1"/>
  <c r="G149" i="2"/>
  <c r="G246" i="2"/>
  <c r="J246" i="2"/>
  <c r="K246" i="2" s="1"/>
  <c r="J131" i="2"/>
  <c r="K131" i="2" s="1"/>
  <c r="G131" i="2"/>
  <c r="G316" i="2"/>
  <c r="J316" i="2"/>
  <c r="K316" i="2" s="1"/>
  <c r="J135" i="2"/>
  <c r="K135" i="2" s="1"/>
  <c r="G135" i="2"/>
  <c r="G383" i="2"/>
  <c r="J383" i="2"/>
  <c r="K383" i="2" s="1"/>
  <c r="G249" i="2"/>
  <c r="J249" i="2"/>
  <c r="K249" i="2" s="1"/>
  <c r="J336" i="2"/>
  <c r="K336" i="2" s="1"/>
  <c r="G336" i="2"/>
  <c r="J282" i="2"/>
  <c r="K282" i="2" s="1"/>
  <c r="G282" i="2"/>
  <c r="J69" i="2"/>
  <c r="K69" i="2" s="1"/>
  <c r="G69" i="2"/>
  <c r="G208" i="2"/>
  <c r="J208" i="2"/>
  <c r="K208" i="2" s="1"/>
  <c r="J331" i="2"/>
  <c r="K331" i="2" s="1"/>
  <c r="G331" i="2"/>
  <c r="G222" i="2"/>
  <c r="J222" i="2"/>
  <c r="K222" i="2" s="1"/>
  <c r="J219" i="2"/>
  <c r="K219" i="2" s="1"/>
  <c r="G219" i="2"/>
  <c r="G125" i="2"/>
  <c r="J125" i="2"/>
  <c r="K125" i="2" s="1"/>
  <c r="J132" i="2"/>
  <c r="K132" i="2" s="1"/>
  <c r="G132" i="2"/>
  <c r="J265" i="2"/>
  <c r="K265" i="2" s="1"/>
  <c r="G265" i="2"/>
  <c r="J330" i="2"/>
  <c r="K330" i="2" s="1"/>
  <c r="G330" i="2"/>
  <c r="J118" i="2"/>
  <c r="K118" i="2" s="1"/>
  <c r="G118" i="2"/>
  <c r="J303" i="2"/>
  <c r="K303" i="2" s="1"/>
  <c r="G303" i="2"/>
  <c r="G157" i="2"/>
  <c r="J157" i="2"/>
  <c r="K157" i="2" s="1"/>
  <c r="J243" i="2"/>
  <c r="K243" i="2" s="1"/>
  <c r="G243" i="2"/>
  <c r="G143" i="2"/>
  <c r="J143" i="2"/>
  <c r="K143" i="2" s="1"/>
  <c r="J310" i="2"/>
  <c r="K310" i="2" s="1"/>
  <c r="G310" i="2"/>
  <c r="G319" i="2"/>
  <c r="J319" i="2"/>
  <c r="K319" i="2" s="1"/>
  <c r="G71" i="2"/>
  <c r="J71" i="2"/>
  <c r="K71" i="2" s="1"/>
  <c r="G212" i="2"/>
  <c r="J212" i="2"/>
  <c r="K212" i="2" s="1"/>
  <c r="G226" i="2"/>
  <c r="J226" i="2"/>
  <c r="K226" i="2" s="1"/>
  <c r="J162" i="2"/>
  <c r="K162" i="2" s="1"/>
  <c r="G162" i="2"/>
  <c r="G289" i="2"/>
  <c r="J289" i="2"/>
  <c r="K289" i="2" s="1"/>
  <c r="J166" i="2"/>
  <c r="K166" i="2" s="1"/>
  <c r="G166" i="2"/>
  <c r="G225" i="2"/>
  <c r="J225" i="2"/>
  <c r="K225" i="2" s="1"/>
  <c r="J201" i="2"/>
  <c r="K201" i="2" s="1"/>
  <c r="G201" i="2"/>
  <c r="G267" i="2"/>
  <c r="J267" i="2"/>
  <c r="K267" i="2" s="1"/>
  <c r="J63" i="2"/>
  <c r="K63" i="2" s="1"/>
  <c r="G63" i="2"/>
  <c r="G234" i="2"/>
  <c r="J234" i="2"/>
  <c r="K234" i="2" s="1"/>
  <c r="J257" i="2"/>
  <c r="K257" i="2" s="1"/>
  <c r="G257" i="2"/>
  <c r="J268" i="2"/>
  <c r="K268" i="2" s="1"/>
  <c r="G268" i="2"/>
  <c r="J105" i="2"/>
  <c r="K105" i="2" s="1"/>
  <c r="G105" i="2"/>
  <c r="J169" i="2"/>
  <c r="K169" i="2" s="1"/>
  <c r="G169" i="2"/>
  <c r="J120" i="2"/>
  <c r="K120" i="2" s="1"/>
  <c r="G120" i="2"/>
  <c r="G315" i="2"/>
  <c r="J315" i="2"/>
  <c r="K315" i="2" s="1"/>
  <c r="G128" i="2"/>
  <c r="J128" i="2"/>
  <c r="K128" i="2" s="1"/>
  <c r="G136" i="2"/>
  <c r="J136" i="2"/>
  <c r="K136" i="2" s="1"/>
  <c r="J137" i="2"/>
  <c r="K137" i="2" s="1"/>
  <c r="G137" i="2"/>
  <c r="G363" i="2"/>
  <c r="J363" i="2"/>
  <c r="K363" i="2" s="1"/>
  <c r="G146" i="2"/>
  <c r="J146" i="2"/>
  <c r="K146" i="2" s="1"/>
  <c r="J203" i="2"/>
  <c r="K203" i="2" s="1"/>
  <c r="G203" i="2"/>
  <c r="J382" i="2"/>
  <c r="K382" i="2" s="1"/>
  <c r="G382" i="2"/>
  <c r="G259" i="2"/>
  <c r="J259" i="2"/>
  <c r="K259" i="2" s="1"/>
  <c r="G367" i="2"/>
  <c r="J367" i="2"/>
  <c r="K367" i="2" s="1"/>
  <c r="J233" i="2"/>
  <c r="K233" i="2" s="1"/>
  <c r="G233" i="2"/>
  <c r="J154" i="2"/>
  <c r="K154" i="2" s="1"/>
  <c r="G154" i="2"/>
  <c r="G276" i="2"/>
  <c r="J276" i="2"/>
  <c r="K276" i="2" s="1"/>
  <c r="J68" i="2"/>
  <c r="K68" i="2" s="1"/>
  <c r="G68" i="2"/>
  <c r="G272" i="2"/>
  <c r="J272" i="2"/>
  <c r="K272" i="2" s="1"/>
  <c r="J144" i="2"/>
  <c r="K144" i="2" s="1"/>
  <c r="G144" i="2"/>
  <c r="G342" i="2"/>
  <c r="J342" i="2"/>
  <c r="K342" i="2" s="1"/>
  <c r="J178" i="2"/>
  <c r="K178" i="2" s="1"/>
  <c r="G178" i="2"/>
  <c r="J53" i="2"/>
  <c r="K53" i="2" s="1"/>
  <c r="G53" i="2"/>
  <c r="G93" i="2"/>
  <c r="J93" i="2"/>
  <c r="K93" i="2" s="1"/>
  <c r="J39" i="2"/>
  <c r="K39" i="2" s="1"/>
  <c r="G39" i="2"/>
  <c r="G75" i="2"/>
  <c r="J75" i="2"/>
  <c r="K75" i="2" s="1"/>
  <c r="J199" i="2"/>
  <c r="K199" i="2" s="1"/>
  <c r="G199" i="2"/>
  <c r="G117" i="2"/>
  <c r="J117" i="2"/>
  <c r="K117" i="2" s="1"/>
  <c r="J204" i="2"/>
  <c r="K204" i="2" s="1"/>
  <c r="G204" i="2"/>
  <c r="G82" i="2"/>
  <c r="J82" i="2"/>
  <c r="K82" i="2" s="1"/>
  <c r="J84" i="2"/>
  <c r="K84" i="2" s="1"/>
  <c r="G84" i="2"/>
  <c r="J300" i="2"/>
  <c r="K300" i="2" s="1"/>
  <c r="G300" i="2"/>
  <c r="J372" i="2"/>
  <c r="K372" i="2" s="1"/>
  <c r="G372" i="2"/>
  <c r="J334" i="2"/>
  <c r="K334" i="2" s="1"/>
  <c r="G334" i="2"/>
  <c r="J83" i="2"/>
  <c r="K83" i="2" s="1"/>
  <c r="G83" i="2"/>
  <c r="G110" i="2"/>
  <c r="J110" i="2"/>
  <c r="K110" i="2" s="1"/>
  <c r="J322" i="2"/>
  <c r="K322" i="2" s="1"/>
  <c r="G322" i="2"/>
  <c r="J345" i="2"/>
  <c r="K345" i="2" s="1"/>
  <c r="G345" i="2"/>
  <c r="G258" i="2"/>
  <c r="J258" i="2"/>
  <c r="K258" i="2" s="1"/>
  <c r="G264" i="2"/>
  <c r="J264" i="2"/>
  <c r="K264" i="2" s="1"/>
  <c r="J344" i="2"/>
  <c r="K344" i="2" s="1"/>
  <c r="G344" i="2"/>
  <c r="J371" i="2"/>
  <c r="K371" i="2" s="1"/>
  <c r="G371" i="2"/>
  <c r="G281" i="2"/>
  <c r="J281" i="2"/>
  <c r="K281" i="2" s="1"/>
  <c r="J159" i="2"/>
  <c r="K159" i="2" s="1"/>
  <c r="G159" i="2"/>
  <c r="J223" i="2"/>
  <c r="K223" i="2" s="1"/>
  <c r="G223" i="2"/>
  <c r="J158" i="2"/>
  <c r="K158" i="2" s="1"/>
  <c r="G158" i="2"/>
  <c r="J359" i="2"/>
  <c r="K359" i="2" s="1"/>
  <c r="G359" i="2"/>
  <c r="J90" i="2"/>
  <c r="K90" i="2" s="1"/>
  <c r="G90" i="2"/>
  <c r="G207" i="2"/>
  <c r="J207" i="2"/>
  <c r="K207" i="2" s="1"/>
  <c r="G130" i="2"/>
  <c r="J130" i="2"/>
  <c r="K130" i="2" s="1"/>
  <c r="J152" i="2"/>
  <c r="K152" i="2" s="1"/>
  <c r="G152" i="2"/>
  <c r="G211" i="2"/>
  <c r="J211" i="2"/>
  <c r="K211" i="2" s="1"/>
  <c r="J109" i="2"/>
  <c r="K109" i="2" s="1"/>
  <c r="G109" i="2"/>
  <c r="G182" i="2"/>
  <c r="J182" i="2"/>
  <c r="K182" i="2" s="1"/>
  <c r="J294" i="2"/>
  <c r="K294" i="2" s="1"/>
  <c r="G294" i="2"/>
  <c r="G177" i="2"/>
  <c r="J177" i="2"/>
  <c r="K177" i="2" s="1"/>
  <c r="J185" i="2"/>
  <c r="K185" i="2" s="1"/>
  <c r="G185" i="2"/>
  <c r="J58" i="2"/>
  <c r="K58" i="2" s="1"/>
  <c r="G58" i="2"/>
  <c r="J112" i="2"/>
  <c r="K112" i="2" s="1"/>
  <c r="G112" i="2"/>
  <c r="G237" i="2"/>
  <c r="J237" i="2"/>
  <c r="K237" i="2" s="1"/>
  <c r="G318" i="2"/>
  <c r="J318" i="2"/>
  <c r="K318" i="2" s="1"/>
  <c r="G95" i="2"/>
  <c r="J95" i="2"/>
  <c r="K95" i="2" s="1"/>
  <c r="G108" i="2"/>
  <c r="J108" i="2"/>
  <c r="K108" i="2" s="1"/>
  <c r="G209" i="2"/>
  <c r="J209" i="2"/>
  <c r="K209" i="2" s="1"/>
  <c r="J273" i="2"/>
  <c r="K273" i="2" s="1"/>
  <c r="G273" i="2"/>
  <c r="J314" i="2"/>
  <c r="K314" i="2" s="1"/>
  <c r="G314" i="2"/>
  <c r="J38" i="2"/>
  <c r="G38" i="2"/>
  <c r="J80" i="2"/>
  <c r="K80" i="2" s="1"/>
  <c r="G80" i="2"/>
  <c r="J165" i="2"/>
  <c r="K165" i="2" s="1"/>
  <c r="G165" i="2"/>
  <c r="J305" i="2"/>
  <c r="K305" i="2" s="1"/>
  <c r="G305" i="2"/>
  <c r="G163" i="2"/>
  <c r="J163" i="2"/>
  <c r="K163" i="2" s="1"/>
  <c r="G358" i="2"/>
  <c r="J358" i="2"/>
  <c r="K358" i="2" s="1"/>
  <c r="G235" i="2"/>
  <c r="J235" i="2"/>
  <c r="K235" i="2" s="1"/>
  <c r="J127" i="2"/>
  <c r="K127" i="2" s="1"/>
  <c r="G127" i="2"/>
  <c r="J147" i="2"/>
  <c r="K147" i="2" s="1"/>
  <c r="G147" i="2"/>
  <c r="J288" i="2"/>
  <c r="K288" i="2" s="1"/>
  <c r="G288" i="2"/>
  <c r="G290" i="2"/>
  <c r="J290" i="2"/>
  <c r="K290" i="2" s="1"/>
  <c r="G241" i="2"/>
  <c r="J241" i="2"/>
  <c r="K241" i="2" s="1"/>
  <c r="G103" i="2"/>
  <c r="J103" i="2"/>
  <c r="K103" i="2" s="1"/>
  <c r="G184" i="2"/>
  <c r="J184" i="2"/>
  <c r="K184" i="2" s="1"/>
  <c r="G353" i="2"/>
  <c r="J353" i="2"/>
  <c r="K353" i="2" s="1"/>
  <c r="J228" i="2"/>
  <c r="K228" i="2" s="1"/>
  <c r="G228" i="2"/>
  <c r="J170" i="2"/>
  <c r="K170" i="2" s="1"/>
  <c r="G170" i="2"/>
  <c r="G296" i="2"/>
  <c r="J296" i="2"/>
  <c r="K296" i="2" s="1"/>
  <c r="G362" i="2"/>
  <c r="J362" i="2"/>
  <c r="K362" i="2" s="1"/>
  <c r="J333" i="2"/>
  <c r="K333" i="2" s="1"/>
  <c r="G333" i="2"/>
  <c r="J354" i="2"/>
  <c r="K354" i="2" s="1"/>
  <c r="G354" i="2"/>
  <c r="G183" i="2"/>
  <c r="J183" i="2"/>
  <c r="K183" i="2" s="1"/>
  <c r="G100" i="2"/>
  <c r="J100" i="2"/>
  <c r="K100" i="2" s="1"/>
  <c r="J66" i="2"/>
  <c r="K66" i="2" s="1"/>
  <c r="G66" i="2"/>
  <c r="G229" i="2"/>
  <c r="J229" i="2"/>
  <c r="K229" i="2" s="1"/>
  <c r="G338" i="2"/>
  <c r="J338" i="2"/>
  <c r="K338" i="2" s="1"/>
  <c r="G111" i="2"/>
  <c r="J111" i="2"/>
  <c r="K111" i="2" s="1"/>
  <c r="J327" i="2"/>
  <c r="K327" i="2" s="1"/>
  <c r="G327" i="2"/>
  <c r="G196" i="2"/>
  <c r="J196" i="2"/>
  <c r="K196" i="2" s="1"/>
  <c r="G370" i="2"/>
  <c r="J370" i="2"/>
  <c r="K370" i="2" s="1"/>
  <c r="G51" i="2"/>
  <c r="J51" i="2"/>
  <c r="K51" i="2" s="1"/>
  <c r="G332" i="2"/>
  <c r="J332" i="2"/>
  <c r="K332" i="2" s="1"/>
  <c r="J167" i="2"/>
  <c r="K167" i="2" s="1"/>
  <c r="G167" i="2"/>
  <c r="G365" i="2"/>
  <c r="J365" i="2"/>
  <c r="K365" i="2" s="1"/>
  <c r="G181" i="2"/>
  <c r="J181" i="2"/>
  <c r="K181" i="2" s="1"/>
  <c r="J74" i="2"/>
  <c r="K74" i="2" s="1"/>
  <c r="G74" i="2"/>
  <c r="G155" i="2"/>
  <c r="J155" i="2"/>
  <c r="K155" i="2" s="1"/>
  <c r="J113" i="2"/>
  <c r="K113" i="2" s="1"/>
  <c r="G113" i="2"/>
  <c r="G297" i="2"/>
  <c r="J297" i="2"/>
  <c r="K297" i="2" s="1"/>
  <c r="G293" i="2"/>
  <c r="J293" i="2"/>
  <c r="K293" i="2" s="1"/>
  <c r="G285" i="2"/>
  <c r="J285" i="2"/>
  <c r="K285" i="2" s="1"/>
  <c r="J266" i="2"/>
  <c r="K266" i="2" s="1"/>
  <c r="G266" i="2"/>
  <c r="J270" i="2"/>
  <c r="K270" i="2" s="1"/>
  <c r="G270" i="2"/>
  <c r="G50" i="2"/>
  <c r="J50" i="2"/>
  <c r="K50" i="2" s="1"/>
  <c r="J123" i="2"/>
  <c r="K123" i="2" s="1"/>
  <c r="G123" i="2"/>
  <c r="G56" i="2"/>
  <c r="J56" i="2"/>
  <c r="K56" i="2" s="1"/>
  <c r="J301" i="2"/>
  <c r="K301" i="2" s="1"/>
  <c r="G301" i="2"/>
  <c r="G72" i="2"/>
  <c r="J72" i="2"/>
  <c r="K72" i="2" s="1"/>
  <c r="J64" i="2"/>
  <c r="K64" i="2" s="1"/>
  <c r="G64" i="2"/>
  <c r="G247" i="2"/>
  <c r="J247" i="2"/>
  <c r="K247" i="2" s="1"/>
  <c r="J210" i="2"/>
  <c r="K210" i="2" s="1"/>
  <c r="G210" i="2"/>
  <c r="J269" i="2"/>
  <c r="K269" i="2" s="1"/>
  <c r="G269" i="2"/>
  <c r="G106" i="2"/>
  <c r="J106" i="2"/>
  <c r="K106" i="2" s="1"/>
  <c r="G369" i="2"/>
  <c r="J369" i="2"/>
  <c r="K369" i="2" s="1"/>
  <c r="G224" i="2"/>
  <c r="J224" i="2"/>
  <c r="K224" i="2" s="1"/>
  <c r="J361" i="2"/>
  <c r="K361" i="2" s="1"/>
  <c r="G361" i="2"/>
  <c r="J173" i="2"/>
  <c r="K173" i="2" s="1"/>
  <c r="G173" i="2"/>
  <c r="J59" i="2"/>
  <c r="K59" i="2" s="1"/>
  <c r="G59" i="2"/>
  <c r="J126" i="2"/>
  <c r="K126" i="2" s="1"/>
  <c r="G126" i="2"/>
  <c r="J81" i="2"/>
  <c r="K81" i="2" s="1"/>
  <c r="G81" i="2"/>
  <c r="J191" i="2"/>
  <c r="K191" i="2" s="1"/>
  <c r="G191" i="2"/>
  <c r="J101" i="2"/>
  <c r="K101" i="2" s="1"/>
  <c r="G101" i="2"/>
  <c r="J67" i="2"/>
  <c r="K67" i="2" s="1"/>
  <c r="G67" i="2"/>
  <c r="J373" i="2"/>
  <c r="K373" i="2" s="1"/>
  <c r="G373" i="2"/>
  <c r="G200" i="2"/>
  <c r="J200" i="2"/>
  <c r="K200" i="2" s="1"/>
  <c r="G379" i="2"/>
  <c r="J379" i="2"/>
  <c r="K379" i="2" s="1"/>
  <c r="G366" i="2"/>
  <c r="J366" i="2"/>
  <c r="K366" i="2" s="1"/>
  <c r="G337" i="2"/>
  <c r="J337" i="2"/>
  <c r="K337" i="2" s="1"/>
  <c r="G284" i="2"/>
  <c r="J284" i="2"/>
  <c r="K284" i="2" s="1"/>
  <c r="J48" i="2"/>
  <c r="K48" i="2" s="1"/>
  <c r="G48" i="2"/>
  <c r="G46" i="2"/>
  <c r="J46" i="2"/>
  <c r="K46" i="2" s="1"/>
  <c r="G115" i="2"/>
  <c r="J115" i="2"/>
  <c r="K115" i="2" s="1"/>
  <c r="J325" i="2"/>
  <c r="K325" i="2" s="1"/>
  <c r="G325" i="2"/>
  <c r="G360" i="2"/>
  <c r="J360" i="2"/>
  <c r="K360" i="2" s="1"/>
  <c r="G213" i="2"/>
  <c r="J213" i="2"/>
  <c r="K213" i="2" s="1"/>
  <c r="J238" i="2"/>
  <c r="K238" i="2" s="1"/>
  <c r="G238" i="2"/>
  <c r="G114" i="2"/>
  <c r="J114" i="2"/>
  <c r="K114" i="2" s="1"/>
  <c r="G311" i="2"/>
  <c r="J311" i="2"/>
  <c r="K311" i="2" s="1"/>
  <c r="J227" i="2"/>
  <c r="K227" i="2" s="1"/>
  <c r="G227" i="2"/>
  <c r="J40" i="2"/>
  <c r="K40" i="2" s="1"/>
  <c r="G40" i="2"/>
  <c r="J145" i="2"/>
  <c r="K145" i="2" s="1"/>
  <c r="G145" i="2"/>
  <c r="J188" i="2"/>
  <c r="K188" i="2" s="1"/>
  <c r="G188" i="2"/>
  <c r="G323" i="2"/>
  <c r="J323" i="2"/>
  <c r="K323" i="2" s="1"/>
  <c r="J91" i="2"/>
  <c r="K91" i="2" s="1"/>
  <c r="G91" i="2"/>
  <c r="J180" i="2"/>
  <c r="K180" i="2" s="1"/>
  <c r="G180" i="2"/>
  <c r="J197" i="2"/>
  <c r="K197" i="2" s="1"/>
  <c r="G197" i="2"/>
  <c r="J79" i="2"/>
  <c r="K79" i="2" s="1"/>
  <c r="G79" i="2"/>
  <c r="G376" i="2"/>
  <c r="J376" i="2"/>
  <c r="K376" i="2" s="1"/>
  <c r="G119" i="2"/>
  <c r="J119" i="2"/>
  <c r="K119" i="2" s="1"/>
  <c r="J42" i="2"/>
  <c r="K42" i="2" s="1"/>
  <c r="G42" i="2"/>
  <c r="G313" i="2"/>
  <c r="J313" i="2"/>
  <c r="K313" i="2" s="1"/>
  <c r="G251" i="2"/>
  <c r="J251" i="2"/>
  <c r="K251" i="2" s="1"/>
  <c r="G364" i="2"/>
  <c r="J364" i="2"/>
  <c r="K364" i="2" s="1"/>
  <c r="J88" i="2"/>
  <c r="K88" i="2" s="1"/>
  <c r="G88" i="2"/>
  <c r="G124" i="2"/>
  <c r="J124" i="2"/>
  <c r="K124" i="2" s="1"/>
  <c r="G357" i="2"/>
  <c r="J357" i="2"/>
  <c r="K357" i="2" s="1"/>
  <c r="J275" i="2"/>
  <c r="K275" i="2" s="1"/>
  <c r="G275" i="2"/>
  <c r="J189" i="2"/>
  <c r="K189" i="2" s="1"/>
  <c r="G189" i="2"/>
  <c r="J102" i="2"/>
  <c r="K102" i="2" s="1"/>
  <c r="G102" i="2"/>
  <c r="G347" i="2"/>
  <c r="J347" i="2"/>
  <c r="K347" i="2" s="1"/>
  <c r="J134" i="2"/>
  <c r="K134" i="2" s="1"/>
  <c r="G134" i="2"/>
  <c r="J309" i="2"/>
  <c r="K309" i="2" s="1"/>
  <c r="G309" i="2"/>
  <c r="J271" i="2"/>
  <c r="K271" i="2" s="1"/>
  <c r="G271" i="2"/>
  <c r="J77" i="2"/>
  <c r="K77" i="2" s="1"/>
  <c r="G77" i="2"/>
  <c r="J215" i="2"/>
  <c r="K215" i="2" s="1"/>
  <c r="G215" i="2"/>
  <c r="G349" i="2"/>
  <c r="J349" i="2"/>
  <c r="K349" i="2" s="1"/>
  <c r="J217" i="2"/>
  <c r="K217" i="2" s="1"/>
  <c r="G217" i="2"/>
  <c r="G73" i="2"/>
  <c r="J73" i="2"/>
  <c r="K73" i="2" s="1"/>
  <c r="J324" i="2"/>
  <c r="K324" i="2" s="1"/>
  <c r="G324" i="2"/>
  <c r="J341" i="2"/>
  <c r="K341" i="2" s="1"/>
  <c r="G341" i="2"/>
  <c r="G335" i="2"/>
  <c r="J335" i="2"/>
  <c r="K335" i="2" s="1"/>
  <c r="J260" i="2"/>
  <c r="K260" i="2" s="1"/>
  <c r="G260" i="2"/>
  <c r="J291" i="2"/>
  <c r="K291" i="2" s="1"/>
  <c r="G291" i="2"/>
  <c r="G306" i="2"/>
  <c r="J306" i="2"/>
  <c r="K306" i="2" s="1"/>
  <c r="J346" i="2"/>
  <c r="K346" i="2" s="1"/>
  <c r="G346" i="2"/>
  <c r="G384" i="2"/>
  <c r="J384" i="2"/>
  <c r="K384" i="2" s="1"/>
  <c r="J214" i="2"/>
  <c r="K214" i="2" s="1"/>
  <c r="G214" i="2"/>
  <c r="J253" i="2"/>
  <c r="K253" i="2" s="1"/>
  <c r="G253" i="2"/>
  <c r="J98" i="2"/>
  <c r="K98" i="2" s="1"/>
  <c r="G98" i="2"/>
  <c r="J245" i="2"/>
  <c r="K245" i="2" s="1"/>
  <c r="G245" i="2"/>
  <c r="G76" i="2"/>
  <c r="J76" i="2"/>
  <c r="K76" i="2" s="1"/>
  <c r="G283" i="2"/>
  <c r="J283" i="2"/>
  <c r="K283" i="2" s="1"/>
  <c r="G216" i="2"/>
  <c r="J216" i="2"/>
  <c r="K216" i="2" s="1"/>
  <c r="G378" i="2"/>
  <c r="J378" i="2"/>
  <c r="K378" i="2" s="1"/>
  <c r="G256" i="2"/>
  <c r="J256" i="2"/>
  <c r="K256" i="2" s="1"/>
  <c r="J355" i="2"/>
  <c r="K355" i="2" s="1"/>
  <c r="G355" i="2"/>
  <c r="G87" i="2"/>
  <c r="J87" i="2"/>
  <c r="K87" i="2" s="1"/>
  <c r="J129" i="2"/>
  <c r="K129" i="2" s="1"/>
  <c r="G129" i="2"/>
  <c r="G202" i="2"/>
  <c r="J202" i="2"/>
  <c r="K202" i="2" s="1"/>
  <c r="G70" i="2"/>
  <c r="J70" i="2"/>
  <c r="K70" i="2" s="1"/>
  <c r="J133" i="2"/>
  <c r="K133" i="2" s="1"/>
  <c r="G133" i="2"/>
  <c r="G175" i="2"/>
  <c r="J175" i="2"/>
  <c r="K175" i="2" s="1"/>
  <c r="G62" i="2"/>
  <c r="J62" i="2"/>
  <c r="K62" i="2" s="1"/>
  <c r="G187" i="2"/>
  <c r="J187" i="2"/>
  <c r="K187" i="2" s="1"/>
  <c r="G61" i="2"/>
  <c r="J61" i="2"/>
  <c r="K61" i="2" s="1"/>
  <c r="G343" i="2"/>
  <c r="J343" i="2"/>
  <c r="K343" i="2" s="1"/>
  <c r="J43" i="2"/>
  <c r="K43" i="2" s="1"/>
  <c r="G43" i="2"/>
  <c r="J86" i="2"/>
  <c r="K86" i="2" s="1"/>
  <c r="G86" i="2"/>
  <c r="J96" i="2"/>
  <c r="K96" i="2" s="1"/>
  <c r="G96" i="2"/>
  <c r="J218" i="2"/>
  <c r="K218" i="2" s="1"/>
  <c r="G218" i="2"/>
  <c r="G220" i="2"/>
  <c r="J220" i="2"/>
  <c r="K220" i="2" s="1"/>
  <c r="J277" i="2"/>
  <c r="K277" i="2" s="1"/>
  <c r="G277" i="2"/>
  <c r="J380" i="2"/>
  <c r="K380" i="2" s="1"/>
  <c r="G380" i="2"/>
  <c r="J280" i="2"/>
  <c r="K280" i="2" s="1"/>
  <c r="G280" i="2"/>
  <c r="J153" i="2"/>
  <c r="K153" i="2" s="1"/>
  <c r="G153" i="2"/>
  <c r="J279" i="2"/>
  <c r="K279" i="2" s="1"/>
  <c r="G279" i="2"/>
  <c r="J107" i="2"/>
  <c r="K107" i="2" s="1"/>
  <c r="G107" i="2"/>
  <c r="J174" i="2"/>
  <c r="K174" i="2" s="1"/>
  <c r="G174" i="2"/>
  <c r="J340" i="2"/>
  <c r="K340" i="2" s="1"/>
  <c r="G340" i="2"/>
  <c r="G49" i="2"/>
  <c r="J49" i="2"/>
  <c r="K49" i="2" s="1"/>
  <c r="J274" i="2"/>
  <c r="K274" i="2" s="1"/>
  <c r="G274" i="2"/>
  <c r="G138" i="2"/>
  <c r="J138" i="2"/>
  <c r="K138" i="2" s="1"/>
  <c r="G240" i="2"/>
  <c r="J240" i="2"/>
  <c r="K240" i="2" s="1"/>
  <c r="G57" i="2"/>
  <c r="J57" i="2"/>
  <c r="K57" i="2" s="1"/>
  <c r="J47" i="2"/>
  <c r="K47" i="2" s="1"/>
  <c r="G47" i="2"/>
  <c r="J287" i="2"/>
  <c r="K287" i="2" s="1"/>
  <c r="G287" i="2"/>
  <c r="J377" i="2"/>
  <c r="K377" i="2" s="1"/>
  <c r="G377" i="2"/>
  <c r="G307" i="2"/>
  <c r="J307" i="2"/>
  <c r="K307" i="2" s="1"/>
  <c r="J139" i="2"/>
  <c r="K139" i="2" s="1"/>
  <c r="G139" i="2"/>
  <c r="J92" i="2"/>
  <c r="K92" i="2" s="1"/>
  <c r="G92" i="2"/>
  <c r="J252" i="2"/>
  <c r="K252" i="2" s="1"/>
  <c r="G252" i="2"/>
  <c r="G231" i="2"/>
  <c r="J231" i="2"/>
  <c r="K231" i="2" s="1"/>
  <c r="G328" i="2"/>
  <c r="J328" i="2"/>
  <c r="K328" i="2" s="1"/>
  <c r="J368" i="2"/>
  <c r="K368" i="2" s="1"/>
  <c r="G368" i="2"/>
  <c r="G308" i="2"/>
  <c r="J308" i="2"/>
  <c r="K308" i="2" s="1"/>
  <c r="G351" i="2"/>
  <c r="J351" i="2"/>
  <c r="K351" i="2" s="1"/>
  <c r="G221" i="2"/>
  <c r="J221" i="2"/>
  <c r="K221" i="2" s="1"/>
  <c r="G160" i="2"/>
  <c r="J160" i="2"/>
  <c r="K160" i="2" s="1"/>
  <c r="G52" i="2"/>
  <c r="J52" i="2"/>
  <c r="K52" i="2" s="1"/>
  <c r="J255" i="2"/>
  <c r="K255" i="2" s="1"/>
  <c r="G255" i="2"/>
  <c r="G263" i="2"/>
  <c r="J263" i="2"/>
  <c r="K263" i="2" s="1"/>
  <c r="G348" i="2"/>
  <c r="J348" i="2"/>
  <c r="K348" i="2" s="1"/>
  <c r="J198" i="2"/>
  <c r="K198" i="2" s="1"/>
  <c r="G198" i="2"/>
  <c r="G45" i="2"/>
  <c r="J45" i="2"/>
  <c r="K45" i="2" s="1"/>
  <c r="G55" i="2"/>
  <c r="J55" i="2"/>
  <c r="K55" i="2" s="1"/>
  <c r="H110" i="1"/>
  <c r="F112" i="1" s="1"/>
  <c r="H111" i="1" s="1"/>
  <c r="L111" i="1" s="1"/>
  <c r="G113" i="1" s="1"/>
  <c r="H113" i="1" s="1"/>
  <c r="B109" i="1"/>
  <c r="F110" i="1"/>
  <c r="E114" i="1"/>
  <c r="H84" i="2" l="1"/>
  <c r="H344" i="2"/>
  <c r="H39" i="2"/>
  <c r="H248" i="2"/>
  <c r="H60" i="2"/>
  <c r="H204" i="2"/>
  <c r="H121" i="2"/>
  <c r="H243" i="2"/>
  <c r="H257" i="2"/>
  <c r="H144" i="2"/>
  <c r="H63" i="2"/>
  <c r="H219" i="2"/>
  <c r="H166" i="2"/>
  <c r="H201" i="2"/>
  <c r="H161" i="2"/>
  <c r="H132" i="2"/>
  <c r="H265" i="2"/>
  <c r="H153" i="2"/>
  <c r="H255" i="2"/>
  <c r="H118" i="2"/>
  <c r="H303" i="2"/>
  <c r="H162" i="2"/>
  <c r="H280" i="2"/>
  <c r="H274" i="2"/>
  <c r="H279" i="2"/>
  <c r="H139" i="2"/>
  <c r="H277" i="2"/>
  <c r="H380" i="2"/>
  <c r="H340" i="2"/>
  <c r="H105" i="2"/>
  <c r="H169" i="2"/>
  <c r="H310" i="2"/>
  <c r="H268" i="2"/>
  <c r="H120" i="2"/>
  <c r="H322" i="2"/>
  <c r="H159" i="2"/>
  <c r="H218" i="2"/>
  <c r="H107" i="2"/>
  <c r="H287" i="2"/>
  <c r="H92" i="2"/>
  <c r="H252" i="2"/>
  <c r="H174" i="2"/>
  <c r="H47" i="2"/>
  <c r="H377" i="2"/>
  <c r="H368" i="2"/>
  <c r="H178" i="2"/>
  <c r="H53" i="2"/>
  <c r="H96" i="2"/>
  <c r="H339" i="2"/>
  <c r="H85" i="2"/>
  <c r="H262" i="2"/>
  <c r="H198" i="2"/>
  <c r="H206" i="2"/>
  <c r="H186" i="2"/>
  <c r="H89" i="2"/>
  <c r="H232" i="2"/>
  <c r="H239" i="2"/>
  <c r="H374" i="2"/>
  <c r="H350" i="2"/>
  <c r="H312" i="2"/>
  <c r="H244" i="2"/>
  <c r="H41" i="2"/>
  <c r="H194" i="2"/>
  <c r="H65" i="2"/>
  <c r="H99" i="2"/>
  <c r="H131" i="2"/>
  <c r="H44" i="2"/>
  <c r="H171" i="2"/>
  <c r="H141" i="2"/>
  <c r="H304" i="2"/>
  <c r="H148" i="2"/>
  <c r="H292" i="2"/>
  <c r="H381" i="2"/>
  <c r="H150" i="2"/>
  <c r="H352" i="2"/>
  <c r="H298" i="2"/>
  <c r="H135" i="2"/>
  <c r="H286" i="2"/>
  <c r="H149" i="2"/>
  <c r="H68" i="2"/>
  <c r="H129" i="2"/>
  <c r="H43" i="2"/>
  <c r="H271" i="2"/>
  <c r="H86" i="2"/>
  <c r="H78" i="2"/>
  <c r="H151" i="2"/>
  <c r="H336" i="2"/>
  <c r="H69" i="2"/>
  <c r="H236" i="2"/>
  <c r="H321" i="2"/>
  <c r="H331" i="2"/>
  <c r="H137" i="2"/>
  <c r="H154" i="2"/>
  <c r="H282" i="2"/>
  <c r="H382" i="2"/>
  <c r="H152" i="2"/>
  <c r="H273" i="2"/>
  <c r="H203" i="2"/>
  <c r="H233" i="2"/>
  <c r="H127" i="2"/>
  <c r="H54" i="2"/>
  <c r="H155" i="2"/>
  <c r="H191" i="2"/>
  <c r="H61" i="2"/>
  <c r="H91" i="2"/>
  <c r="E219" i="2"/>
  <c r="A218" i="2"/>
  <c r="B218" i="2"/>
  <c r="C218" i="2" s="1"/>
  <c r="K38" i="2"/>
  <c r="H38" i="2" s="1"/>
  <c r="K36" i="2"/>
  <c r="D217" i="2"/>
  <c r="H176" i="2"/>
  <c r="H254" i="2"/>
  <c r="H356" i="2"/>
  <c r="H142" i="2"/>
  <c r="H250" i="2"/>
  <c r="H164" i="2"/>
  <c r="H168" i="2"/>
  <c r="H295" i="2"/>
  <c r="H320" i="2"/>
  <c r="H195" i="2"/>
  <c r="H179" i="2"/>
  <c r="H230" i="2"/>
  <c r="H190" i="2"/>
  <c r="H302" i="2"/>
  <c r="H299" i="2"/>
  <c r="H116" i="2"/>
  <c r="H156" i="2"/>
  <c r="H140" i="2"/>
  <c r="H103" i="2"/>
  <c r="H184" i="2"/>
  <c r="H362" i="2"/>
  <c r="H333" i="2"/>
  <c r="H183" i="2"/>
  <c r="H111" i="2"/>
  <c r="H51" i="2"/>
  <c r="H113" i="2"/>
  <c r="H297" i="2"/>
  <c r="H266" i="2"/>
  <c r="H270" i="2"/>
  <c r="H301" i="2"/>
  <c r="H59" i="2"/>
  <c r="H101" i="2"/>
  <c r="H373" i="2"/>
  <c r="H379" i="2"/>
  <c r="H48" i="2"/>
  <c r="H115" i="2"/>
  <c r="H325" i="2"/>
  <c r="H311" i="2"/>
  <c r="H227" i="2"/>
  <c r="H40" i="2"/>
  <c r="H376" i="2"/>
  <c r="H364" i="2"/>
  <c r="H275" i="2"/>
  <c r="H189" i="2"/>
  <c r="H347" i="2"/>
  <c r="H134" i="2"/>
  <c r="H309" i="2"/>
  <c r="H349" i="2"/>
  <c r="H217" i="2"/>
  <c r="H335" i="2"/>
  <c r="H193" i="2"/>
  <c r="H317" i="2"/>
  <c r="H326" i="2"/>
  <c r="H104" i="2"/>
  <c r="H261" i="2"/>
  <c r="H172" i="2"/>
  <c r="H97" i="2"/>
  <c r="H242" i="2"/>
  <c r="H278" i="2"/>
  <c r="H94" i="2"/>
  <c r="H375" i="2"/>
  <c r="H122" i="2"/>
  <c r="H205" i="2"/>
  <c r="H246" i="2"/>
  <c r="H316" i="2"/>
  <c r="H383" i="2"/>
  <c r="H249" i="2"/>
  <c r="H208" i="2"/>
  <c r="H222" i="2"/>
  <c r="H125" i="2"/>
  <c r="H82" i="2"/>
  <c r="H372" i="2"/>
  <c r="H83" i="2"/>
  <c r="H110" i="2"/>
  <c r="H345" i="2"/>
  <c r="H258" i="2"/>
  <c r="H264" i="2"/>
  <c r="H371" i="2"/>
  <c r="H281" i="2"/>
  <c r="H158" i="2"/>
  <c r="H90" i="2"/>
  <c r="H207" i="2"/>
  <c r="H130" i="2"/>
  <c r="H109" i="2"/>
  <c r="H182" i="2"/>
  <c r="H185" i="2"/>
  <c r="H58" i="2"/>
  <c r="H237" i="2"/>
  <c r="H318" i="2"/>
  <c r="H108" i="2"/>
  <c r="H80" i="2"/>
  <c r="H305" i="2"/>
  <c r="H163" i="2"/>
  <c r="H358" i="2"/>
  <c r="H288" i="2"/>
  <c r="H290" i="2"/>
  <c r="H241" i="2"/>
  <c r="H353" i="2"/>
  <c r="H228" i="2"/>
  <c r="H354" i="2"/>
  <c r="H100" i="2"/>
  <c r="H66" i="2"/>
  <c r="H229" i="2"/>
  <c r="H338" i="2"/>
  <c r="H370" i="2"/>
  <c r="H365" i="2"/>
  <c r="H181" i="2"/>
  <c r="H285" i="2"/>
  <c r="H50" i="2"/>
  <c r="H56" i="2"/>
  <c r="H64" i="2"/>
  <c r="H106" i="2"/>
  <c r="H369" i="2"/>
  <c r="H224" i="2"/>
  <c r="H361" i="2"/>
  <c r="H126" i="2"/>
  <c r="H337" i="2"/>
  <c r="H284" i="2"/>
  <c r="H188" i="2"/>
  <c r="H313" i="2"/>
  <c r="H251" i="2"/>
  <c r="H77" i="2"/>
  <c r="H215" i="2"/>
  <c r="H73" i="2"/>
  <c r="H324" i="2"/>
  <c r="H260" i="2"/>
  <c r="H283" i="2"/>
  <c r="H216" i="2"/>
  <c r="H378" i="2"/>
  <c r="H256" i="2"/>
  <c r="H355" i="2"/>
  <c r="H175" i="2"/>
  <c r="H62" i="2"/>
  <c r="H330" i="2"/>
  <c r="H157" i="2"/>
  <c r="H143" i="2"/>
  <c r="H319" i="2"/>
  <c r="H71" i="2"/>
  <c r="H212" i="2"/>
  <c r="H226" i="2"/>
  <c r="H289" i="2"/>
  <c r="H225" i="2"/>
  <c r="H267" i="2"/>
  <c r="H234" i="2"/>
  <c r="H315" i="2"/>
  <c r="H128" i="2"/>
  <c r="H136" i="2"/>
  <c r="H363" i="2"/>
  <c r="H146" i="2"/>
  <c r="H259" i="2"/>
  <c r="H367" i="2"/>
  <c r="H276" i="2"/>
  <c r="H272" i="2"/>
  <c r="H342" i="2"/>
  <c r="H93" i="2"/>
  <c r="H75" i="2"/>
  <c r="H199" i="2"/>
  <c r="H117" i="2"/>
  <c r="H300" i="2"/>
  <c r="H334" i="2"/>
  <c r="H223" i="2"/>
  <c r="H359" i="2"/>
  <c r="H211" i="2"/>
  <c r="H294" i="2"/>
  <c r="H177" i="2"/>
  <c r="H112" i="2"/>
  <c r="H95" i="2"/>
  <c r="H209" i="2"/>
  <c r="H314" i="2"/>
  <c r="H165" i="2"/>
  <c r="H235" i="2"/>
  <c r="H147" i="2"/>
  <c r="H170" i="2"/>
  <c r="H327" i="2"/>
  <c r="H332" i="2"/>
  <c r="H167" i="2"/>
  <c r="H72" i="2"/>
  <c r="H210" i="2"/>
  <c r="H269" i="2"/>
  <c r="H81" i="2"/>
  <c r="H366" i="2"/>
  <c r="H46" i="2"/>
  <c r="H360" i="2"/>
  <c r="H213" i="2"/>
  <c r="H238" i="2"/>
  <c r="H114" i="2"/>
  <c r="H180" i="2"/>
  <c r="H88" i="2"/>
  <c r="H357" i="2"/>
  <c r="H341" i="2"/>
  <c r="H291" i="2"/>
  <c r="H306" i="2"/>
  <c r="H346" i="2"/>
  <c r="H384" i="2"/>
  <c r="H214" i="2"/>
  <c r="H245" i="2"/>
  <c r="H87" i="2"/>
  <c r="H70" i="2"/>
  <c r="H133" i="2"/>
  <c r="H343" i="2"/>
  <c r="H220" i="2"/>
  <c r="H49" i="2"/>
  <c r="H138" i="2"/>
  <c r="H240" i="2"/>
  <c r="H57" i="2"/>
  <c r="H307" i="2"/>
  <c r="H231" i="2"/>
  <c r="H328" i="2"/>
  <c r="H308" i="2"/>
  <c r="H351" i="2"/>
  <c r="H221" i="2"/>
  <c r="H160" i="2"/>
  <c r="H52" i="2"/>
  <c r="H263" i="2"/>
  <c r="H348" i="2"/>
  <c r="H45" i="2"/>
  <c r="H55" i="2"/>
  <c r="H329" i="2"/>
  <c r="H192" i="2"/>
  <c r="H296" i="2"/>
  <c r="H196" i="2"/>
  <c r="H74" i="2"/>
  <c r="H293" i="2"/>
  <c r="H123" i="2"/>
  <c r="H247" i="2"/>
  <c r="H173" i="2"/>
  <c r="H67" i="2"/>
  <c r="H200" i="2"/>
  <c r="H145" i="2"/>
  <c r="H323" i="2"/>
  <c r="H197" i="2"/>
  <c r="H79" i="2"/>
  <c r="H119" i="2"/>
  <c r="H42" i="2"/>
  <c r="H124" i="2"/>
  <c r="H102" i="2"/>
  <c r="H253" i="2"/>
  <c r="H98" i="2"/>
  <c r="H76" i="2"/>
  <c r="H202" i="2"/>
  <c r="H187" i="2"/>
  <c r="J113" i="1"/>
  <c r="C116" i="1"/>
  <c r="B115" i="1" s="1"/>
  <c r="AF3" i="3"/>
  <c r="B219" i="2" l="1"/>
  <c r="C219" i="2" s="1"/>
  <c r="A219" i="2"/>
  <c r="E220" i="2"/>
  <c r="D218" i="2"/>
  <c r="T23" i="1"/>
  <c r="T24" i="1"/>
  <c r="T21" i="1"/>
  <c r="T22" i="1"/>
  <c r="T20" i="1"/>
  <c r="V17" i="1"/>
  <c r="B35" i="5"/>
  <c r="B122" i="1"/>
  <c r="F116" i="1"/>
  <c r="E120" i="1"/>
  <c r="H116" i="1"/>
  <c r="F118" i="1" s="1"/>
  <c r="H117" i="1" s="1"/>
  <c r="L117" i="1" s="1"/>
  <c r="G119" i="1" s="1"/>
  <c r="H119" i="1" s="1"/>
  <c r="J119" i="1" s="1"/>
  <c r="E221" i="2" l="1"/>
  <c r="B220" i="2"/>
  <c r="C220" i="2" s="1"/>
  <c r="A220" i="2"/>
  <c r="D219" i="2"/>
  <c r="T57" i="1"/>
  <c r="T25" i="1"/>
  <c r="B36" i="5" s="1"/>
  <c r="A221" i="2" l="1"/>
  <c r="B221" i="2"/>
  <c r="C221" i="2" s="1"/>
  <c r="E222" i="2"/>
  <c r="D220" i="2"/>
  <c r="B39" i="5"/>
  <c r="B2" i="5" a="1"/>
  <c r="B2" i="5" s="1"/>
  <c r="E223" i="2" l="1"/>
  <c r="B222" i="2"/>
  <c r="C222" i="2" s="1"/>
  <c r="A222" i="2"/>
  <c r="D221" i="2"/>
  <c r="D222" i="2" l="1"/>
  <c r="E224" i="2"/>
  <c r="A223" i="2"/>
  <c r="B223" i="2"/>
  <c r="C223" i="2" s="1"/>
  <c r="B224" i="2" l="1"/>
  <c r="C224" i="2" s="1"/>
  <c r="E225" i="2"/>
  <c r="A224" i="2"/>
  <c r="D223" i="2"/>
  <c r="D224" i="2" l="1"/>
  <c r="B225" i="2"/>
  <c r="C225" i="2" s="1"/>
  <c r="E226" i="2"/>
  <c r="A225" i="2"/>
  <c r="E227" i="2" l="1"/>
  <c r="A226" i="2"/>
  <c r="B226" i="2"/>
  <c r="C226" i="2" s="1"/>
  <c r="D225" i="2"/>
  <c r="B227" i="2" l="1"/>
  <c r="C227" i="2" s="1"/>
  <c r="A227" i="2"/>
  <c r="E228" i="2"/>
  <c r="D226" i="2"/>
  <c r="A228" i="2" l="1"/>
  <c r="E229" i="2"/>
  <c r="B228" i="2"/>
  <c r="C228" i="2" s="1"/>
  <c r="D227" i="2"/>
  <c r="E230" i="2" l="1"/>
  <c r="A229" i="2"/>
  <c r="B229" i="2"/>
  <c r="C229" i="2" s="1"/>
  <c r="D228" i="2"/>
  <c r="E231" i="2" l="1"/>
  <c r="A230" i="2"/>
  <c r="B230" i="2"/>
  <c r="C230" i="2" s="1"/>
  <c r="D229" i="2"/>
  <c r="A231" i="2" l="1"/>
  <c r="E232" i="2"/>
  <c r="B231" i="2"/>
  <c r="C231" i="2" s="1"/>
  <c r="D230" i="2"/>
  <c r="B232" i="2" l="1"/>
  <c r="C232" i="2" s="1"/>
  <c r="E233" i="2"/>
  <c r="A232" i="2"/>
  <c r="D231" i="2"/>
  <c r="A233" i="2" l="1"/>
  <c r="E234" i="2"/>
  <c r="B233" i="2"/>
  <c r="C233" i="2" s="1"/>
  <c r="D232" i="2"/>
  <c r="D233" i="2" l="1"/>
  <c r="B234" i="2"/>
  <c r="C234" i="2" s="1"/>
  <c r="A234" i="2"/>
  <c r="E235" i="2"/>
  <c r="D234" i="2" l="1"/>
  <c r="A235" i="2"/>
  <c r="E236" i="2"/>
  <c r="B235" i="2"/>
  <c r="C235" i="2" s="1"/>
  <c r="A236" i="2" l="1"/>
  <c r="B236" i="2"/>
  <c r="C236" i="2" s="1"/>
  <c r="E237" i="2"/>
  <c r="D235" i="2"/>
  <c r="A237" i="2" l="1"/>
  <c r="E238" i="2"/>
  <c r="B237" i="2"/>
  <c r="C237" i="2" s="1"/>
  <c r="D236" i="2"/>
  <c r="B238" i="2" l="1"/>
  <c r="C238" i="2" s="1"/>
  <c r="A238" i="2"/>
  <c r="E239" i="2"/>
  <c r="D237" i="2"/>
  <c r="B239" i="2" l="1"/>
  <c r="C239" i="2" s="1"/>
  <c r="E240" i="2"/>
  <c r="A239" i="2"/>
  <c r="D238" i="2"/>
  <c r="A240" i="2" l="1"/>
  <c r="E241" i="2"/>
  <c r="B240" i="2"/>
  <c r="C240" i="2" s="1"/>
  <c r="D239" i="2"/>
  <c r="E242" i="2" l="1"/>
  <c r="A241" i="2"/>
  <c r="B241" i="2"/>
  <c r="C241" i="2" s="1"/>
  <c r="D240" i="2"/>
  <c r="B242" i="2" l="1"/>
  <c r="C242" i="2" s="1"/>
  <c r="E243" i="2"/>
  <c r="A242" i="2"/>
  <c r="D241" i="2"/>
  <c r="E244" i="2" l="1"/>
  <c r="B243" i="2"/>
  <c r="C243" i="2" s="1"/>
  <c r="A243" i="2"/>
  <c r="D242" i="2"/>
  <c r="B244" i="2" l="1"/>
  <c r="C244" i="2" s="1"/>
  <c r="A244" i="2"/>
  <c r="E245" i="2"/>
  <c r="D243" i="2"/>
  <c r="A245" i="2" l="1"/>
  <c r="B245" i="2"/>
  <c r="C245" i="2" s="1"/>
  <c r="E246" i="2"/>
  <c r="D244" i="2"/>
  <c r="D245" i="2" l="1"/>
  <c r="E247" i="2"/>
  <c r="B246" i="2"/>
  <c r="C246" i="2" s="1"/>
  <c r="A246" i="2"/>
  <c r="B247" i="2" l="1"/>
  <c r="C247" i="2" s="1"/>
  <c r="E248" i="2"/>
  <c r="A247" i="2"/>
  <c r="D246" i="2"/>
  <c r="D247" i="2" l="1"/>
  <c r="B248" i="2"/>
  <c r="C248" i="2" s="1"/>
  <c r="E249" i="2"/>
  <c r="A248" i="2"/>
  <c r="E250" i="2" l="1"/>
  <c r="A249" i="2"/>
  <c r="B249" i="2"/>
  <c r="C249" i="2" s="1"/>
  <c r="D248" i="2"/>
  <c r="E251" i="2" l="1"/>
  <c r="B250" i="2"/>
  <c r="C250" i="2" s="1"/>
  <c r="A250" i="2"/>
  <c r="D249" i="2"/>
  <c r="E252" i="2" l="1"/>
  <c r="B251" i="2"/>
  <c r="C251" i="2" s="1"/>
  <c r="A251" i="2"/>
  <c r="D250" i="2"/>
  <c r="B252" i="2" l="1"/>
  <c r="C252" i="2" s="1"/>
  <c r="E253" i="2"/>
  <c r="A252" i="2"/>
  <c r="D251" i="2"/>
  <c r="E254" i="2" l="1"/>
  <c r="A253" i="2"/>
  <c r="B253" i="2"/>
  <c r="C253" i="2" s="1"/>
  <c r="D252" i="2"/>
  <c r="B254" i="2" l="1"/>
  <c r="C254" i="2" s="1"/>
  <c r="E255" i="2"/>
  <c r="A254" i="2"/>
  <c r="D253" i="2"/>
  <c r="D254" i="2" l="1"/>
  <c r="B255" i="2"/>
  <c r="C255" i="2" s="1"/>
  <c r="E256" i="2"/>
  <c r="A255" i="2"/>
  <c r="B256" i="2" l="1"/>
  <c r="C256" i="2" s="1"/>
  <c r="A256" i="2"/>
  <c r="E257" i="2"/>
  <c r="D255" i="2"/>
  <c r="D256" i="2" l="1"/>
  <c r="B257" i="2"/>
  <c r="C257" i="2" s="1"/>
  <c r="E258" i="2"/>
  <c r="A257" i="2"/>
  <c r="A258" i="2" l="1"/>
  <c r="E259" i="2"/>
  <c r="B258" i="2"/>
  <c r="C258" i="2" s="1"/>
  <c r="D257" i="2"/>
  <c r="D258" i="2" l="1"/>
  <c r="E260" i="2"/>
  <c r="A259" i="2"/>
  <c r="B259" i="2"/>
  <c r="C259" i="2" s="1"/>
  <c r="E261" i="2" l="1"/>
  <c r="B260" i="2"/>
  <c r="C260" i="2" s="1"/>
  <c r="A260" i="2"/>
  <c r="D259" i="2"/>
  <c r="D260" i="2" l="1"/>
  <c r="B261" i="2"/>
  <c r="C261" i="2" s="1"/>
  <c r="A261" i="2"/>
  <c r="E262" i="2"/>
  <c r="B262" i="2" l="1"/>
  <c r="C262" i="2" s="1"/>
  <c r="A262" i="2"/>
  <c r="E263" i="2"/>
  <c r="D261" i="2"/>
  <c r="E264" i="2" l="1"/>
  <c r="B263" i="2"/>
  <c r="C263" i="2" s="1"/>
  <c r="A263" i="2"/>
  <c r="D262" i="2"/>
  <c r="E265" i="2" l="1"/>
  <c r="B264" i="2"/>
  <c r="C264" i="2" s="1"/>
  <c r="A264" i="2"/>
  <c r="D263" i="2"/>
  <c r="E266" i="2" l="1"/>
  <c r="A265" i="2"/>
  <c r="B265" i="2"/>
  <c r="C265" i="2" s="1"/>
  <c r="D264" i="2"/>
  <c r="B266" i="2" l="1"/>
  <c r="C266" i="2" s="1"/>
  <c r="E267" i="2"/>
  <c r="A266" i="2"/>
  <c r="D265" i="2"/>
  <c r="E268" i="2" l="1"/>
  <c r="B267" i="2"/>
  <c r="C267" i="2" s="1"/>
  <c r="A267" i="2"/>
  <c r="D266" i="2"/>
  <c r="D267" i="2" l="1"/>
  <c r="E269" i="2"/>
  <c r="B268" i="2"/>
  <c r="C268" i="2" s="1"/>
  <c r="A268" i="2"/>
  <c r="D268" i="2" l="1"/>
  <c r="E270" i="2"/>
  <c r="B269" i="2"/>
  <c r="C269" i="2" s="1"/>
  <c r="A269" i="2"/>
  <c r="B270" i="2" l="1"/>
  <c r="C270" i="2" s="1"/>
  <c r="E271" i="2"/>
  <c r="A270" i="2"/>
  <c r="D269" i="2"/>
  <c r="A271" i="2" l="1"/>
  <c r="B271" i="2"/>
  <c r="C271" i="2" s="1"/>
  <c r="E272" i="2"/>
  <c r="D270" i="2"/>
  <c r="E273" i="2" l="1"/>
  <c r="B272" i="2"/>
  <c r="C272" i="2" s="1"/>
  <c r="A272" i="2"/>
  <c r="D271" i="2"/>
  <c r="B273" i="2" l="1"/>
  <c r="C273" i="2" s="1"/>
  <c r="A273" i="2"/>
  <c r="E274" i="2"/>
  <c r="D272" i="2"/>
  <c r="B274" i="2" l="1"/>
  <c r="C274" i="2" s="1"/>
  <c r="E275" i="2"/>
  <c r="A274" i="2"/>
  <c r="D273" i="2"/>
  <c r="D274" i="2" l="1"/>
  <c r="E276" i="2"/>
  <c r="A275" i="2"/>
  <c r="B275" i="2"/>
  <c r="C275" i="2" s="1"/>
  <c r="D275" i="2" l="1"/>
  <c r="E277" i="2"/>
  <c r="A276" i="2"/>
  <c r="B276" i="2"/>
  <c r="C276" i="2" s="1"/>
  <c r="B277" i="2" l="1"/>
  <c r="C277" i="2" s="1"/>
  <c r="A277" i="2"/>
  <c r="E278" i="2"/>
  <c r="D276" i="2"/>
  <c r="E279" i="2" l="1"/>
  <c r="A278" i="2"/>
  <c r="B278" i="2"/>
  <c r="C278" i="2" s="1"/>
  <c r="D277" i="2"/>
  <c r="D278" i="2" l="1"/>
  <c r="B279" i="2"/>
  <c r="C279" i="2" s="1"/>
  <c r="E280" i="2"/>
  <c r="A279" i="2"/>
  <c r="E281" i="2" l="1"/>
  <c r="A280" i="2"/>
  <c r="B280" i="2"/>
  <c r="C280" i="2" s="1"/>
  <c r="D279" i="2"/>
  <c r="A281" i="2" l="1"/>
  <c r="E282" i="2"/>
  <c r="B281" i="2"/>
  <c r="C281" i="2" s="1"/>
  <c r="D280" i="2"/>
  <c r="A282" i="2" l="1"/>
  <c r="B282" i="2"/>
  <c r="C282" i="2" s="1"/>
  <c r="E283" i="2"/>
  <c r="D281" i="2"/>
  <c r="B283" i="2" l="1"/>
  <c r="C283" i="2" s="1"/>
  <c r="A283" i="2"/>
  <c r="E284" i="2"/>
  <c r="D282" i="2"/>
  <c r="E285" i="2" l="1"/>
  <c r="A284" i="2"/>
  <c r="B284" i="2"/>
  <c r="C284" i="2" s="1"/>
  <c r="D283" i="2"/>
  <c r="B285" i="2" l="1"/>
  <c r="C285" i="2" s="1"/>
  <c r="E286" i="2"/>
  <c r="A285" i="2"/>
  <c r="D284" i="2"/>
  <c r="E287" i="2" l="1"/>
  <c r="A286" i="2"/>
  <c r="B286" i="2"/>
  <c r="C286" i="2" s="1"/>
  <c r="D285" i="2"/>
  <c r="E288" i="2" l="1"/>
  <c r="A287" i="2"/>
  <c r="B287" i="2"/>
  <c r="C287" i="2" s="1"/>
  <c r="D286" i="2"/>
  <c r="E289" i="2" l="1"/>
  <c r="A288" i="2"/>
  <c r="B288" i="2"/>
  <c r="C288" i="2" s="1"/>
  <c r="D287" i="2"/>
  <c r="E290" i="2" l="1"/>
  <c r="A289" i="2"/>
  <c r="B289" i="2"/>
  <c r="C289" i="2" s="1"/>
  <c r="D288" i="2"/>
  <c r="A290" i="2" l="1"/>
  <c r="E291" i="2"/>
  <c r="B290" i="2"/>
  <c r="C290" i="2" s="1"/>
  <c r="D289" i="2"/>
  <c r="E292" i="2" l="1"/>
  <c r="A291" i="2"/>
  <c r="B291" i="2"/>
  <c r="C291" i="2" s="1"/>
  <c r="D290" i="2"/>
  <c r="B292" i="2" l="1"/>
  <c r="C292" i="2" s="1"/>
  <c r="A292" i="2"/>
  <c r="E293" i="2"/>
  <c r="D291" i="2"/>
  <c r="A293" i="2" l="1"/>
  <c r="E294" i="2"/>
  <c r="B293" i="2"/>
  <c r="C293" i="2" s="1"/>
  <c r="D292" i="2"/>
  <c r="B294" i="2" l="1"/>
  <c r="C294" i="2" s="1"/>
  <c r="A294" i="2"/>
  <c r="E295" i="2"/>
  <c r="D293" i="2"/>
  <c r="D294" i="2" l="1"/>
  <c r="A295" i="2"/>
  <c r="B295" i="2"/>
  <c r="C295" i="2" s="1"/>
  <c r="E296" i="2"/>
  <c r="A296" i="2" l="1"/>
  <c r="E297" i="2"/>
  <c r="B296" i="2"/>
  <c r="C296" i="2" s="1"/>
  <c r="D295" i="2"/>
  <c r="D296" i="2" l="1"/>
  <c r="E298" i="2"/>
  <c r="A297" i="2"/>
  <c r="B297" i="2"/>
  <c r="C297" i="2" s="1"/>
  <c r="D297" i="2" l="1"/>
  <c r="B298" i="2"/>
  <c r="C298" i="2" s="1"/>
  <c r="A298" i="2"/>
  <c r="E299" i="2"/>
  <c r="A299" i="2" l="1"/>
  <c r="B299" i="2"/>
  <c r="C299" i="2" s="1"/>
  <c r="E300" i="2"/>
  <c r="D298" i="2"/>
  <c r="B300" i="2" l="1"/>
  <c r="C300" i="2" s="1"/>
  <c r="E301" i="2"/>
  <c r="A300" i="2"/>
  <c r="D299" i="2"/>
  <c r="E302" i="2" l="1"/>
  <c r="A301" i="2"/>
  <c r="B301" i="2"/>
  <c r="C301" i="2" s="1"/>
  <c r="D300" i="2"/>
  <c r="E303" i="2" l="1"/>
  <c r="A302" i="2"/>
  <c r="B302" i="2"/>
  <c r="C302" i="2" s="1"/>
  <c r="D301" i="2"/>
  <c r="A303" i="2" l="1"/>
  <c r="B303" i="2"/>
  <c r="C303" i="2" s="1"/>
  <c r="E304" i="2"/>
  <c r="D302" i="2"/>
  <c r="E305" i="2" l="1"/>
  <c r="A304" i="2"/>
  <c r="B304" i="2"/>
  <c r="C304" i="2" s="1"/>
  <c r="D303" i="2"/>
  <c r="B305" i="2" l="1"/>
  <c r="C305" i="2" s="1"/>
  <c r="E306" i="2"/>
  <c r="A305" i="2"/>
  <c r="D304" i="2"/>
  <c r="D305" i="2" l="1"/>
  <c r="E307" i="2"/>
  <c r="A306" i="2"/>
  <c r="B306" i="2"/>
  <c r="C306" i="2" s="1"/>
  <c r="A307" i="2" l="1"/>
  <c r="B307" i="2"/>
  <c r="C307" i="2" s="1"/>
  <c r="E308" i="2"/>
  <c r="D306" i="2"/>
  <c r="D307" i="2" l="1"/>
  <c r="E309" i="2"/>
  <c r="B308" i="2"/>
  <c r="C308" i="2" s="1"/>
  <c r="A308" i="2"/>
  <c r="D308" i="2" l="1"/>
  <c r="B309" i="2"/>
  <c r="C309" i="2" s="1"/>
  <c r="A309" i="2"/>
  <c r="E310" i="2"/>
  <c r="B310" i="2" l="1"/>
  <c r="C310" i="2" s="1"/>
  <c r="E311" i="2"/>
  <c r="A310" i="2"/>
  <c r="D309" i="2"/>
  <c r="A311" i="2" l="1"/>
  <c r="E312" i="2"/>
  <c r="B311" i="2"/>
  <c r="C311" i="2" s="1"/>
  <c r="D310" i="2"/>
  <c r="A312" i="2" l="1"/>
  <c r="E313" i="2"/>
  <c r="B312" i="2"/>
  <c r="C312" i="2" s="1"/>
  <c r="D311" i="2"/>
  <c r="B313" i="2" l="1"/>
  <c r="C313" i="2" s="1"/>
  <c r="E314" i="2"/>
  <c r="A313" i="2"/>
  <c r="D312" i="2"/>
  <c r="A314" i="2" l="1"/>
  <c r="E315" i="2"/>
  <c r="B314" i="2"/>
  <c r="C314" i="2" s="1"/>
  <c r="D313" i="2"/>
  <c r="E316" i="2" l="1"/>
  <c r="B315" i="2"/>
  <c r="C315" i="2" s="1"/>
  <c r="A315" i="2"/>
  <c r="D314" i="2"/>
  <c r="E317" i="2" l="1"/>
  <c r="B316" i="2"/>
  <c r="C316" i="2" s="1"/>
  <c r="A316" i="2"/>
  <c r="D315" i="2"/>
  <c r="B317" i="2" l="1"/>
  <c r="C317" i="2" s="1"/>
  <c r="A317" i="2"/>
  <c r="E318" i="2"/>
  <c r="D316" i="2"/>
  <c r="E319" i="2" l="1"/>
  <c r="B318" i="2"/>
  <c r="C318" i="2" s="1"/>
  <c r="A318" i="2"/>
  <c r="D317" i="2"/>
  <c r="D318" i="2" l="1"/>
  <c r="B319" i="2"/>
  <c r="C319" i="2" s="1"/>
  <c r="E320" i="2"/>
  <c r="A319" i="2"/>
  <c r="A320" i="2" l="1"/>
  <c r="E321" i="2"/>
  <c r="B320" i="2"/>
  <c r="C320" i="2" s="1"/>
  <c r="D319" i="2"/>
  <c r="B321" i="2" l="1"/>
  <c r="C321" i="2" s="1"/>
  <c r="E322" i="2"/>
  <c r="A321" i="2"/>
  <c r="D320" i="2"/>
  <c r="B322" i="2" l="1"/>
  <c r="C322" i="2" s="1"/>
  <c r="A322" i="2"/>
  <c r="E323" i="2"/>
  <c r="D321" i="2"/>
  <c r="E324" i="2" l="1"/>
  <c r="A323" i="2"/>
  <c r="B323" i="2"/>
  <c r="C323" i="2" s="1"/>
  <c r="D322" i="2"/>
  <c r="B324" i="2" l="1"/>
  <c r="C324" i="2" s="1"/>
  <c r="A324" i="2"/>
  <c r="E325" i="2"/>
  <c r="D323" i="2"/>
  <c r="A325" i="2" l="1"/>
  <c r="E326" i="2"/>
  <c r="B325" i="2"/>
  <c r="C325" i="2" s="1"/>
  <c r="D324" i="2"/>
  <c r="E327" i="2" l="1"/>
  <c r="A326" i="2"/>
  <c r="B326" i="2"/>
  <c r="C326" i="2" s="1"/>
  <c r="D325" i="2"/>
  <c r="B327" i="2" l="1"/>
  <c r="C327" i="2" s="1"/>
  <c r="A327" i="2"/>
  <c r="E328" i="2"/>
  <c r="D326" i="2"/>
  <c r="A328" i="2" l="1"/>
  <c r="E329" i="2"/>
  <c r="B328" i="2"/>
  <c r="C328" i="2" s="1"/>
  <c r="D327" i="2"/>
  <c r="B329" i="2" l="1"/>
  <c r="C329" i="2" s="1"/>
  <c r="A329" i="2"/>
  <c r="E330" i="2"/>
  <c r="D328" i="2"/>
  <c r="B330" i="2" l="1"/>
  <c r="C330" i="2" s="1"/>
  <c r="A330" i="2"/>
  <c r="E331" i="2"/>
  <c r="D329" i="2"/>
  <c r="D330" i="2" l="1"/>
  <c r="A331" i="2"/>
  <c r="E332" i="2"/>
  <c r="B331" i="2"/>
  <c r="C331" i="2" s="1"/>
  <c r="A332" i="2" l="1"/>
  <c r="E333" i="2"/>
  <c r="B332" i="2"/>
  <c r="C332" i="2" s="1"/>
  <c r="D331" i="2"/>
  <c r="B333" i="2" l="1"/>
  <c r="C333" i="2" s="1"/>
  <c r="E334" i="2"/>
  <c r="A333" i="2"/>
  <c r="D332" i="2"/>
  <c r="B334" i="2" l="1"/>
  <c r="C334" i="2" s="1"/>
  <c r="A334" i="2"/>
  <c r="E335" i="2"/>
  <c r="D333" i="2"/>
  <c r="A335" i="2" l="1"/>
  <c r="E336" i="2"/>
  <c r="B335" i="2"/>
  <c r="C335" i="2" s="1"/>
  <c r="D334" i="2"/>
  <c r="A336" i="2" l="1"/>
  <c r="E337" i="2"/>
  <c r="B336" i="2"/>
  <c r="C336" i="2" s="1"/>
  <c r="D335" i="2"/>
  <c r="A337" i="2" l="1"/>
  <c r="E338" i="2"/>
  <c r="B337" i="2"/>
  <c r="C337" i="2" s="1"/>
  <c r="D336" i="2"/>
  <c r="E339" i="2" l="1"/>
  <c r="A338" i="2"/>
  <c r="B338" i="2"/>
  <c r="C338" i="2" s="1"/>
  <c r="D337" i="2"/>
  <c r="B339" i="2" l="1"/>
  <c r="C339" i="2" s="1"/>
  <c r="A339" i="2"/>
  <c r="E340" i="2"/>
  <c r="D338" i="2"/>
  <c r="A340" i="2" l="1"/>
  <c r="B340" i="2"/>
  <c r="C340" i="2" s="1"/>
  <c r="E341" i="2"/>
  <c r="D339" i="2"/>
  <c r="B341" i="2" l="1"/>
  <c r="C341" i="2" s="1"/>
  <c r="A341" i="2"/>
  <c r="E342" i="2"/>
  <c r="D340" i="2"/>
  <c r="E343" i="2" l="1"/>
  <c r="A342" i="2"/>
  <c r="B342" i="2"/>
  <c r="C342" i="2" s="1"/>
  <c r="D341" i="2"/>
  <c r="E344" i="2" l="1"/>
  <c r="B343" i="2"/>
  <c r="C343" i="2" s="1"/>
  <c r="A343" i="2"/>
  <c r="D342" i="2"/>
  <c r="E345" i="2" l="1"/>
  <c r="B344" i="2"/>
  <c r="C344" i="2" s="1"/>
  <c r="A344" i="2"/>
  <c r="D343" i="2"/>
  <c r="A345" i="2" l="1"/>
  <c r="E346" i="2"/>
  <c r="B345" i="2"/>
  <c r="C345" i="2" s="1"/>
  <c r="D344" i="2"/>
  <c r="A346" i="2" l="1"/>
  <c r="B346" i="2"/>
  <c r="C346" i="2" s="1"/>
  <c r="E347" i="2"/>
  <c r="D345" i="2"/>
  <c r="B347" i="2" l="1"/>
  <c r="C347" i="2" s="1"/>
  <c r="E348" i="2"/>
  <c r="A347" i="2"/>
  <c r="D346" i="2"/>
  <c r="D347" i="2" l="1"/>
  <c r="E349" i="2"/>
  <c r="B348" i="2"/>
  <c r="C348" i="2" s="1"/>
  <c r="A348" i="2"/>
  <c r="A349" i="2" l="1"/>
  <c r="E350" i="2"/>
  <c r="B349" i="2"/>
  <c r="C349" i="2" s="1"/>
  <c r="D348" i="2"/>
  <c r="B350" i="2" l="1"/>
  <c r="C350" i="2" s="1"/>
  <c r="E351" i="2"/>
  <c r="A350" i="2"/>
  <c r="D349" i="2"/>
  <c r="E352" i="2" l="1"/>
  <c r="A351" i="2"/>
  <c r="B351" i="2"/>
  <c r="C351" i="2" s="1"/>
  <c r="D350" i="2"/>
  <c r="B352" i="2" l="1"/>
  <c r="C352" i="2" s="1"/>
  <c r="A352" i="2"/>
  <c r="E353" i="2"/>
  <c r="D351" i="2"/>
  <c r="A353" i="2" l="1"/>
  <c r="B353" i="2"/>
  <c r="C353" i="2" s="1"/>
  <c r="E354" i="2"/>
  <c r="D352" i="2"/>
  <c r="E355" i="2" l="1"/>
  <c r="B354" i="2"/>
  <c r="C354" i="2" s="1"/>
  <c r="A354" i="2"/>
  <c r="D353" i="2"/>
  <c r="B355" i="2" l="1"/>
  <c r="C355" i="2" s="1"/>
  <c r="A355" i="2"/>
  <c r="E356" i="2"/>
  <c r="D354" i="2"/>
  <c r="E357" i="2" l="1"/>
  <c r="B356" i="2"/>
  <c r="C356" i="2" s="1"/>
  <c r="A356" i="2"/>
  <c r="D355" i="2"/>
  <c r="E358" i="2" l="1"/>
  <c r="A357" i="2"/>
  <c r="B357" i="2"/>
  <c r="C357" i="2" s="1"/>
  <c r="D356" i="2"/>
  <c r="E359" i="2" l="1"/>
  <c r="A358" i="2"/>
  <c r="B358" i="2"/>
  <c r="C358" i="2" s="1"/>
  <c r="D357" i="2"/>
  <c r="A359" i="2" l="1"/>
  <c r="E360" i="2"/>
  <c r="B359" i="2"/>
  <c r="C359" i="2" s="1"/>
  <c r="D358" i="2"/>
  <c r="A360" i="2" l="1"/>
  <c r="E361" i="2"/>
  <c r="B360" i="2"/>
  <c r="C360" i="2" s="1"/>
  <c r="D359" i="2"/>
  <c r="A361" i="2" l="1"/>
  <c r="B361" i="2"/>
  <c r="C361" i="2" s="1"/>
  <c r="E362" i="2"/>
  <c r="D360" i="2"/>
  <c r="D361" i="2" l="1"/>
  <c r="E363" i="2"/>
  <c r="B362" i="2"/>
  <c r="C362" i="2" s="1"/>
  <c r="A362" i="2"/>
  <c r="B363" i="2" l="1"/>
  <c r="C363" i="2" s="1"/>
  <c r="A363" i="2"/>
  <c r="E364" i="2"/>
  <c r="D362" i="2"/>
  <c r="A364" i="2" l="1"/>
  <c r="B364" i="2"/>
  <c r="C364" i="2" s="1"/>
  <c r="E365" i="2"/>
  <c r="D363" i="2"/>
  <c r="B365" i="2" l="1"/>
  <c r="C365" i="2" s="1"/>
  <c r="A365" i="2"/>
  <c r="E366" i="2"/>
  <c r="D364" i="2"/>
  <c r="A366" i="2" l="1"/>
  <c r="E367" i="2"/>
  <c r="B366" i="2"/>
  <c r="C366" i="2" s="1"/>
  <c r="D365" i="2"/>
  <c r="E368" i="2" l="1"/>
  <c r="A367" i="2"/>
  <c r="B367" i="2"/>
  <c r="C367" i="2" s="1"/>
  <c r="D367" i="2" s="1"/>
  <c r="D366" i="2"/>
  <c r="E369" i="2" l="1"/>
  <c r="A368" i="2"/>
  <c r="B368" i="2"/>
  <c r="C368" i="2" s="1"/>
  <c r="D368" i="2" l="1"/>
  <c r="E370" i="2"/>
  <c r="A369" i="2"/>
  <c r="B369" i="2"/>
  <c r="C369" i="2" s="1"/>
  <c r="D369" i="2" s="1"/>
  <c r="A370" i="2" l="1"/>
  <c r="B370" i="2"/>
  <c r="C370" i="2" s="1"/>
  <c r="E371" i="2"/>
  <c r="B371" i="2" l="1"/>
  <c r="C371" i="2" s="1"/>
  <c r="D371" i="2" s="1"/>
  <c r="E372" i="2"/>
  <c r="A371" i="2"/>
  <c r="D370" i="2"/>
  <c r="B372" i="2" l="1"/>
  <c r="C372" i="2" s="1"/>
  <c r="A372" i="2"/>
  <c r="E373" i="2"/>
  <c r="A373" i="2" l="1"/>
  <c r="B373" i="2"/>
  <c r="C373" i="2" s="1"/>
  <c r="D373" i="2" s="1"/>
  <c r="E374" i="2"/>
  <c r="D372" i="2"/>
  <c r="B374" i="2" l="1"/>
  <c r="C374" i="2" s="1"/>
  <c r="E375" i="2"/>
  <c r="A374" i="2"/>
  <c r="E376" i="2" l="1"/>
  <c r="B375" i="2"/>
  <c r="C375" i="2" s="1"/>
  <c r="A375" i="2"/>
  <c r="D374" i="2"/>
  <c r="B376" i="2" l="1"/>
  <c r="C376" i="2" s="1"/>
  <c r="E377" i="2"/>
  <c r="A376" i="2"/>
  <c r="D375" i="2"/>
  <c r="B377" i="2" l="1"/>
  <c r="C377" i="2" s="1"/>
  <c r="E378" i="2"/>
  <c r="A377" i="2"/>
  <c r="D376" i="2"/>
  <c r="D377" i="2" l="1"/>
  <c r="B378" i="2"/>
  <c r="C378" i="2" s="1"/>
  <c r="A378" i="2"/>
  <c r="E379" i="2"/>
  <c r="E380" i="2" l="1"/>
  <c r="A379" i="2"/>
  <c r="B379" i="2"/>
  <c r="C379" i="2" s="1"/>
  <c r="D378" i="2"/>
  <c r="B380" i="2" l="1"/>
  <c r="C380" i="2" s="1"/>
  <c r="E381" i="2"/>
  <c r="A380" i="2"/>
  <c r="D379" i="2"/>
  <c r="D380" i="2" l="1"/>
  <c r="E382" i="2"/>
  <c r="B381" i="2"/>
  <c r="C381" i="2" s="1"/>
  <c r="A381" i="2"/>
  <c r="E383" i="2" l="1"/>
  <c r="B382" i="2"/>
  <c r="C382" i="2" s="1"/>
  <c r="A382" i="2"/>
  <c r="D381" i="2"/>
  <c r="D382" i="2" l="1"/>
  <c r="B383" i="2"/>
  <c r="A383" i="2"/>
  <c r="E384" i="2"/>
  <c r="C383" i="2" l="1"/>
  <c r="D383" i="2" s="1"/>
  <c r="B384" i="2"/>
  <c r="A384" i="2"/>
  <c r="C384" i="2" l="1"/>
  <c r="D384" i="2" s="1"/>
  <c r="B36"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C1" authorId="0" shapeId="0" xr:uid="{5EA2B4F5-3A87-42A1-A708-2B7D51F4F530}">
      <text>
        <r>
          <rPr>
            <b/>
            <sz val="9"/>
            <color indexed="81"/>
            <rFont val="Tahoma"/>
            <family val="2"/>
          </rPr>
          <t>INDEX</t>
        </r>
      </text>
    </comment>
    <comment ref="D1" authorId="0" shapeId="0" xr:uid="{51907DB5-B9CE-4E59-A9A1-F2D3898D29E6}">
      <text>
        <r>
          <rPr>
            <b/>
            <sz val="9"/>
            <color indexed="81"/>
            <rFont val="Tahoma"/>
            <family val="2"/>
          </rPr>
          <t>INDEX</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O1" authorId="0" shapeId="0" xr:uid="{53169DFB-8E71-49EB-966E-EA39C7BCBD98}">
      <text>
        <r>
          <rPr>
            <b/>
            <sz val="9"/>
            <color indexed="81"/>
            <rFont val="Tahoma"/>
            <family val="2"/>
          </rPr>
          <t>Nombre Figura</t>
        </r>
      </text>
    </comment>
    <comment ref="P1" authorId="0" shapeId="0" xr:uid="{8E9E23DB-A774-4D41-A63B-0B0589D650C7}">
      <text>
        <r>
          <rPr>
            <b/>
            <sz val="9"/>
            <color indexed="81"/>
            <rFont val="Tahoma"/>
            <family val="2"/>
          </rPr>
          <t>Nombre Archivo</t>
        </r>
      </text>
    </comment>
    <comment ref="Q1" authorId="0" shapeId="0" xr:uid="{92EBCC14-0577-4281-A3A0-C1BF191D086F}">
      <text>
        <r>
          <rPr>
            <b/>
            <sz val="9"/>
            <color indexed="81"/>
            <rFont val="Tahoma"/>
            <family val="2"/>
          </rPr>
          <t>Subcarpeta</t>
        </r>
      </text>
    </comment>
    <comment ref="M71" authorId="0" shapeId="0" xr:uid="{25932E43-434E-4F06-97AA-3F4B86E95F5F}">
      <text>
        <r>
          <rPr>
            <b/>
            <sz val="9"/>
            <color indexed="81"/>
            <rFont val="Tahoma"/>
            <family val="2"/>
          </rPr>
          <t>A partir de aquí, solo funciona correctamente para versiones de Excel 2021 y posteriores.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Alazne Huerta Gómez de Merodio</author>
  </authors>
  <commentList>
    <comment ref="AK4" authorId="0" shapeId="0" xr:uid="{53DC598B-92B8-4BCC-873D-3BCBEAD604AE}">
      <text>
        <r>
          <rPr>
            <b/>
            <sz val="9"/>
            <color indexed="81"/>
            <rFont val="Tahoma"/>
            <family val="2"/>
          </rPr>
          <t>IMPRIMIR TODO</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<sst xmlns="http://schemas.openxmlformats.org/spreadsheetml/2006/main" count="528" uniqueCount="337">
  <si>
    <t>Datos:</t>
  </si>
  <si>
    <t>Altura</t>
  </si>
  <si>
    <t>NOMBRE</t>
  </si>
  <si>
    <t>L</t>
  </si>
  <si>
    <t>h</t>
  </si>
  <si>
    <t>d</t>
  </si>
  <si>
    <t xml:space="preserve">L = </t>
  </si>
  <si>
    <t xml:space="preserve">h = </t>
  </si>
  <si>
    <t xml:space="preserve">d = </t>
  </si>
  <si>
    <t>Enlace</t>
  </si>
  <si>
    <t>ID</t>
  </si>
  <si>
    <t>DATOS PARA LAS FIGURAS</t>
  </si>
  <si>
    <t xml:space="preserve"> m²</t>
  </si>
  <si>
    <t xml:space="preserve"> m³</t>
  </si>
  <si>
    <t>m⁴</t>
  </si>
  <si>
    <t>FORMATOS / SÍMBOLOS ESPECIALES</t>
  </si>
  <si>
    <t>1. PROBLEMA</t>
  </si>
  <si>
    <t>Ancho</t>
  </si>
  <si>
    <t>Alto</t>
  </si>
  <si>
    <t>URL FTP</t>
  </si>
  <si>
    <t>Área</t>
  </si>
  <si>
    <t>A</t>
  </si>
  <si>
    <t>V</t>
  </si>
  <si>
    <t>1.1.</t>
  </si>
  <si>
    <t>1.3.</t>
  </si>
  <si>
    <t>1.2.</t>
  </si>
  <si>
    <t>1.4.</t>
  </si>
  <si>
    <t>2.1.</t>
  </si>
  <si>
    <t>&lt;br&gt;</t>
  </si>
  <si>
    <t>&lt;p&gt;</t>
  </si>
  <si>
    <t>SÍ / NO</t>
  </si>
  <si>
    <t>Sí</t>
  </si>
  <si>
    <t>No</t>
  </si>
  <si>
    <t>SALTOS</t>
  </si>
  <si>
    <t>DATOS PARA MENÚS DESPLEGABLES</t>
  </si>
  <si>
    <t>Min</t>
  </si>
  <si>
    <t>Max</t>
  </si>
  <si>
    <t>Multiplo</t>
  </si>
  <si>
    <t>IMAGEN</t>
  </si>
  <si>
    <t>Imagen</t>
  </si>
  <si>
    <t>Area</t>
  </si>
  <si>
    <t>Aleatorio</t>
  </si>
  <si>
    <t>4</t>
  </si>
  <si>
    <t>l</t>
  </si>
  <si>
    <r>
      <t>w</t>
    </r>
    <r>
      <rPr>
        <vertAlign val="subscript"/>
        <sz val="18"/>
        <color theme="1"/>
        <rFont val="Calibri"/>
        <family val="2"/>
        <scheme val="minor"/>
      </rPr>
      <t>a</t>
    </r>
  </si>
  <si>
    <r>
      <t>w</t>
    </r>
    <r>
      <rPr>
        <vertAlign val="subscript"/>
        <sz val="18"/>
        <color theme="1"/>
        <rFont val="Calibri"/>
        <family val="2"/>
        <scheme val="minor"/>
      </rPr>
      <t>b</t>
    </r>
  </si>
  <si>
    <r>
      <t>w</t>
    </r>
    <r>
      <rPr>
        <vertAlign val="subscript"/>
        <sz val="18"/>
        <color theme="1"/>
        <rFont val="Calibri"/>
        <family val="2"/>
        <scheme val="minor"/>
      </rPr>
      <t>c</t>
    </r>
  </si>
  <si>
    <r>
      <t>w</t>
    </r>
    <r>
      <rPr>
        <vertAlign val="subscript"/>
        <sz val="18"/>
        <color theme="1"/>
        <rFont val="Calibri"/>
        <family val="2"/>
        <scheme val="minor"/>
      </rPr>
      <t>d</t>
    </r>
  </si>
  <si>
    <t>1</t>
  </si>
  <si>
    <t>2</t>
  </si>
  <si>
    <t>3</t>
  </si>
  <si>
    <t>5</t>
  </si>
  <si>
    <t>a</t>
  </si>
  <si>
    <t>NUDO</t>
  </si>
  <si>
    <t>VERTICAL</t>
  </si>
  <si>
    <t>Acero</t>
  </si>
  <si>
    <t>B</t>
  </si>
  <si>
    <t>redondo macizo</t>
  </si>
  <si>
    <t>COORDENADAS</t>
  </si>
  <si>
    <t>X</t>
  </si>
  <si>
    <t>Y</t>
  </si>
  <si>
    <t>Proporción</t>
  </si>
  <si>
    <t>ANGULOS</t>
  </si>
  <si>
    <t>Inercia</t>
  </si>
  <si>
    <t>cuadrado</t>
  </si>
  <si>
    <t>C</t>
  </si>
  <si>
    <t>redondo hueco</t>
  </si>
  <si>
    <t>espesor</t>
  </si>
  <si>
    <t>D</t>
  </si>
  <si>
    <t>cuadrado hueco</t>
  </si>
  <si>
    <t>E</t>
  </si>
  <si>
    <t>rectangular</t>
  </si>
  <si>
    <t>APOYOS</t>
  </si>
  <si>
    <t>HORIZ</t>
  </si>
  <si>
    <t>COORD X</t>
  </si>
  <si>
    <t>Tracción</t>
  </si>
  <si>
    <t>Compresión</t>
  </si>
  <si>
    <t>Longitud</t>
  </si>
  <si>
    <t>T_AB</t>
  </si>
  <si>
    <t>T_CB</t>
  </si>
  <si>
    <t>T_DE</t>
  </si>
  <si>
    <t>T_AD</t>
  </si>
  <si>
    <t>T_DB</t>
  </si>
  <si>
    <t>T_BE</t>
  </si>
  <si>
    <t>T_CE</t>
  </si>
  <si>
    <t>L_AB_2</t>
  </si>
  <si>
    <t>Angulo</t>
  </si>
  <si>
    <t>Rv_</t>
  </si>
  <si>
    <t>Rh_</t>
  </si>
  <si>
    <t>LIBRE</t>
  </si>
  <si>
    <t>Pv_</t>
  </si>
  <si>
    <t>Ph_</t>
  </si>
  <si>
    <t>CERCHA</t>
  </si>
  <si>
    <t>Diám / Lado</t>
  </si>
  <si>
    <t>Ap_1_h</t>
  </si>
  <si>
    <t>Ap_1_v</t>
  </si>
  <si>
    <t>Ap_2_v</t>
  </si>
  <si>
    <t>Ap 1 h</t>
  </si>
  <si>
    <t>Ap 1 v</t>
  </si>
  <si>
    <t>Ap 2 v</t>
  </si>
  <si>
    <t>Pv A</t>
  </si>
  <si>
    <t>Pv B</t>
  </si>
  <si>
    <t>Pv C</t>
  </si>
  <si>
    <t>Pv D</t>
  </si>
  <si>
    <t>Pv E</t>
  </si>
  <si>
    <t>Ph A</t>
  </si>
  <si>
    <t>Ph B</t>
  </si>
  <si>
    <t>Ph C</t>
  </si>
  <si>
    <t>Ph D</t>
  </si>
  <si>
    <t>Ph E</t>
  </si>
  <si>
    <t>Apoyo móvil:</t>
  </si>
  <si>
    <t>Apoyo fijo:</t>
  </si>
  <si>
    <t>Pv_A</t>
  </si>
  <si>
    <t>Pv_B</t>
  </si>
  <si>
    <t>Pv_C</t>
  </si>
  <si>
    <t>Pv_D</t>
  </si>
  <si>
    <t>Pv_E</t>
  </si>
  <si>
    <t>Ph_A</t>
  </si>
  <si>
    <t>Ph_B</t>
  </si>
  <si>
    <t>Ph_C</t>
  </si>
  <si>
    <t>Ph_D</t>
  </si>
  <si>
    <t>Ph_E</t>
  </si>
  <si>
    <t>CARGA</t>
  </si>
  <si>
    <t>FIJO (2)</t>
  </si>
  <si>
    <t>MÓVIL (1)</t>
  </si>
  <si>
    <t xml:space="preserve"> m </t>
  </si>
  <si>
    <t xml:space="preserve"> mm </t>
  </si>
  <si>
    <t>H</t>
  </si>
  <si>
    <t>▲</t>
  </si>
  <si>
    <t>●●</t>
  </si>
  <si>
    <t>diámetro</t>
  </si>
  <si>
    <t>lado</t>
  </si>
  <si>
    <t>Geom</t>
  </si>
  <si>
    <r>
      <t>T</t>
    </r>
    <r>
      <rPr>
        <vertAlign val="subscript"/>
        <sz val="11"/>
        <color theme="1"/>
        <rFont val="Calibri"/>
        <family val="2"/>
        <scheme val="minor"/>
      </rPr>
      <t>AD</t>
    </r>
  </si>
  <si>
    <r>
      <t>T</t>
    </r>
    <r>
      <rPr>
        <vertAlign val="subscript"/>
        <sz val="11"/>
        <color theme="1"/>
        <rFont val="Calibri"/>
        <family val="2"/>
        <scheme val="minor"/>
      </rPr>
      <t>AB</t>
    </r>
  </si>
  <si>
    <r>
      <t>T</t>
    </r>
    <r>
      <rPr>
        <b/>
        <vertAlign val="subscript"/>
        <sz val="11"/>
        <color theme="1"/>
        <rFont val="Calibri"/>
        <family val="2"/>
        <scheme val="minor"/>
      </rPr>
      <t>AD</t>
    </r>
    <r>
      <rPr>
        <b/>
        <sz val="11"/>
        <color theme="1"/>
        <rFont val="Calibri"/>
        <family val="2"/>
        <scheme val="minor"/>
      </rPr>
      <t xml:space="preserve"> =</t>
    </r>
  </si>
  <si>
    <r>
      <t>T</t>
    </r>
    <r>
      <rPr>
        <b/>
        <vertAlign val="subscript"/>
        <sz val="11"/>
        <color theme="1"/>
        <rFont val="Calibri"/>
        <family val="2"/>
        <scheme val="minor"/>
      </rPr>
      <t>AB</t>
    </r>
    <r>
      <rPr>
        <b/>
        <sz val="11"/>
        <color theme="1"/>
        <rFont val="Calibri"/>
        <family val="2"/>
        <scheme val="minor"/>
      </rPr>
      <t xml:space="preserve"> =</t>
    </r>
  </si>
  <si>
    <r>
      <t>T</t>
    </r>
    <r>
      <rPr>
        <vertAlign val="subscript"/>
        <sz val="11"/>
        <color theme="1"/>
        <rFont val="Calibri"/>
        <family val="2"/>
        <scheme val="minor"/>
      </rPr>
      <t>CE</t>
    </r>
  </si>
  <si>
    <r>
      <t>T</t>
    </r>
    <r>
      <rPr>
        <b/>
        <vertAlign val="subscript"/>
        <sz val="11"/>
        <color theme="1"/>
        <rFont val="Calibri"/>
        <family val="2"/>
        <scheme val="minor"/>
      </rPr>
      <t>CE</t>
    </r>
    <r>
      <rPr>
        <b/>
        <sz val="11"/>
        <color theme="1"/>
        <rFont val="Calibri"/>
        <family val="2"/>
        <scheme val="minor"/>
      </rPr>
      <t xml:space="preserve"> =</t>
    </r>
  </si>
  <si>
    <r>
      <t>T</t>
    </r>
    <r>
      <rPr>
        <b/>
        <vertAlign val="subscript"/>
        <sz val="11"/>
        <color theme="1"/>
        <rFont val="Calibri"/>
        <family val="2"/>
        <scheme val="minor"/>
      </rPr>
      <t>BC</t>
    </r>
    <r>
      <rPr>
        <b/>
        <sz val="11"/>
        <color theme="1"/>
        <rFont val="Calibri"/>
        <family val="2"/>
        <scheme val="minor"/>
      </rPr>
      <t xml:space="preserve"> =</t>
    </r>
  </si>
  <si>
    <r>
      <t>− T</t>
    </r>
    <r>
      <rPr>
        <vertAlign val="subscript"/>
        <sz val="11"/>
        <color theme="1"/>
        <rFont val="Calibri"/>
        <family val="2"/>
        <scheme val="minor"/>
      </rPr>
      <t>BC</t>
    </r>
  </si>
  <si>
    <r>
      <t xml:space="preserve">Empezamos por el </t>
    </r>
    <r>
      <rPr>
        <b/>
        <sz val="11"/>
        <color theme="1"/>
        <rFont val="Calibri"/>
        <family val="2"/>
        <scheme val="minor"/>
      </rPr>
      <t>NUDO A</t>
    </r>
    <r>
      <rPr>
        <sz val="11"/>
        <color theme="1"/>
        <rFont val="Calibri"/>
        <family val="2"/>
        <scheme val="minor"/>
      </rPr>
      <t xml:space="preserve">, pues solo tiene 2 barras desconocidas. Además, al no tener la barra AB componente vertical, empezamos por las fuerzas verticales, para sacar </t>
    </r>
    <r>
      <rPr>
        <b/>
        <sz val="11"/>
        <color theme="1"/>
        <rFont val="Calibri"/>
        <family val="2"/>
        <scheme val="minor"/>
      </rPr>
      <t>T</t>
    </r>
    <r>
      <rPr>
        <b/>
        <vertAlign val="subscript"/>
        <sz val="11"/>
        <color theme="1"/>
        <rFont val="Calibri"/>
        <family val="2"/>
        <scheme val="minor"/>
      </rPr>
      <t>AD</t>
    </r>
    <r>
      <rPr>
        <sz val="11"/>
        <color theme="1"/>
        <rFont val="Calibri"/>
        <family val="2"/>
        <scheme val="minor"/>
      </rPr>
      <t>:</t>
    </r>
  </si>
  <si>
    <r>
      <t>− T</t>
    </r>
    <r>
      <rPr>
        <vertAlign val="subscript"/>
        <sz val="11"/>
        <color theme="1"/>
        <rFont val="Calibri"/>
        <family val="2"/>
        <scheme val="minor"/>
      </rPr>
      <t>DB</t>
    </r>
  </si>
  <si>
    <r>
      <t>T</t>
    </r>
    <r>
      <rPr>
        <b/>
        <vertAlign val="subscript"/>
        <sz val="11"/>
        <color theme="1"/>
        <rFont val="Calibri"/>
        <family val="2"/>
        <scheme val="minor"/>
      </rPr>
      <t>DB</t>
    </r>
    <r>
      <rPr>
        <b/>
        <sz val="11"/>
        <color theme="1"/>
        <rFont val="Calibri"/>
        <family val="2"/>
        <scheme val="minor"/>
      </rPr>
      <t xml:space="preserve"> =</t>
    </r>
  </si>
  <si>
    <r>
      <t>T</t>
    </r>
    <r>
      <rPr>
        <b/>
        <vertAlign val="subscript"/>
        <sz val="11"/>
        <color theme="1"/>
        <rFont val="Calibri"/>
        <family val="2"/>
        <scheme val="minor"/>
      </rPr>
      <t>DE</t>
    </r>
    <r>
      <rPr>
        <b/>
        <sz val="11"/>
        <color theme="1"/>
        <rFont val="Calibri"/>
        <family val="2"/>
        <scheme val="minor"/>
      </rPr>
      <t xml:space="preserve"> =</t>
    </r>
  </si>
  <si>
    <r>
      <t>T</t>
    </r>
    <r>
      <rPr>
        <i/>
        <vertAlign val="subscript"/>
        <sz val="11"/>
        <color theme="1"/>
        <rFont val="Calibri"/>
        <family val="2"/>
        <scheme val="minor"/>
      </rPr>
      <t>AD</t>
    </r>
    <r>
      <rPr>
        <i/>
        <sz val="11"/>
        <color theme="1"/>
        <rFont val="Calibri"/>
        <family val="2"/>
        <scheme val="minor"/>
      </rPr>
      <t xml:space="preserve"> =</t>
    </r>
  </si>
  <si>
    <r>
      <t>T</t>
    </r>
    <r>
      <rPr>
        <i/>
        <vertAlign val="subscript"/>
        <sz val="11"/>
        <color theme="1"/>
        <rFont val="Calibri"/>
        <family val="2"/>
        <scheme val="minor"/>
      </rPr>
      <t>AB</t>
    </r>
    <r>
      <rPr>
        <i/>
        <sz val="11"/>
        <color theme="1"/>
        <rFont val="Calibri"/>
        <family val="2"/>
        <scheme val="minor"/>
      </rPr>
      <t xml:space="preserve"> =</t>
    </r>
  </si>
  <si>
    <r>
      <t>T</t>
    </r>
    <r>
      <rPr>
        <i/>
        <vertAlign val="subscript"/>
        <sz val="11"/>
        <color theme="1"/>
        <rFont val="Calibri"/>
        <family val="2"/>
        <scheme val="minor"/>
      </rPr>
      <t>CE</t>
    </r>
    <r>
      <rPr>
        <i/>
        <sz val="11"/>
        <color theme="1"/>
        <rFont val="Calibri"/>
        <family val="2"/>
        <scheme val="minor"/>
      </rPr>
      <t xml:space="preserve"> =</t>
    </r>
  </si>
  <si>
    <r>
      <t>T</t>
    </r>
    <r>
      <rPr>
        <i/>
        <vertAlign val="subscript"/>
        <sz val="11"/>
        <color theme="1"/>
        <rFont val="Calibri"/>
        <family val="2"/>
        <scheme val="minor"/>
      </rPr>
      <t>BC</t>
    </r>
    <r>
      <rPr>
        <i/>
        <sz val="11"/>
        <color theme="1"/>
        <rFont val="Calibri"/>
        <family val="2"/>
        <scheme val="minor"/>
      </rPr>
      <t xml:space="preserve"> =</t>
    </r>
  </si>
  <si>
    <r>
      <t>T</t>
    </r>
    <r>
      <rPr>
        <i/>
        <vertAlign val="subscript"/>
        <sz val="11"/>
        <color theme="1"/>
        <rFont val="Calibri"/>
        <family val="2"/>
        <scheme val="minor"/>
      </rPr>
      <t>DB</t>
    </r>
    <r>
      <rPr>
        <i/>
        <sz val="11"/>
        <color theme="1"/>
        <rFont val="Calibri"/>
        <family val="2"/>
        <scheme val="minor"/>
      </rPr>
      <t xml:space="preserve"> =</t>
    </r>
  </si>
  <si>
    <r>
      <t>T</t>
    </r>
    <r>
      <rPr>
        <i/>
        <vertAlign val="subscript"/>
        <sz val="11"/>
        <color theme="1"/>
        <rFont val="Calibri"/>
        <family val="2"/>
        <scheme val="minor"/>
      </rPr>
      <t>DE</t>
    </r>
    <r>
      <rPr>
        <i/>
        <sz val="11"/>
        <color theme="1"/>
        <rFont val="Calibri"/>
        <family val="2"/>
        <scheme val="minor"/>
      </rPr>
      <t xml:space="preserve"> =</t>
    </r>
  </si>
  <si>
    <r>
      <t xml:space="preserve">Finalmente, queda calcular la barra BE. Podríamos elegir tanto el nudo B como el E, elegimos el </t>
    </r>
    <r>
      <rPr>
        <b/>
        <sz val="11"/>
        <color theme="1"/>
        <rFont val="Calibri"/>
        <family val="2"/>
        <scheme val="minor"/>
      </rPr>
      <t>NUDO E</t>
    </r>
    <r>
      <rPr>
        <sz val="11"/>
        <color theme="1"/>
        <rFont val="Calibri"/>
        <family val="2"/>
        <scheme val="minor"/>
      </rPr>
      <t xml:space="preserve">, pues tiene menos barras, y calculamos </t>
    </r>
    <r>
      <rPr>
        <b/>
        <sz val="11"/>
        <color theme="1"/>
        <rFont val="Calibri"/>
        <family val="2"/>
        <scheme val="minor"/>
      </rPr>
      <t>T</t>
    </r>
    <r>
      <rPr>
        <b/>
        <vertAlign val="subscript"/>
        <sz val="11"/>
        <color theme="1"/>
        <rFont val="Calibri"/>
        <family val="2"/>
        <scheme val="minor"/>
      </rPr>
      <t>EB</t>
    </r>
    <r>
      <rPr>
        <sz val="11"/>
        <color theme="1"/>
        <rFont val="Calibri"/>
        <family val="2"/>
        <scheme val="minor"/>
      </rPr>
      <t>:</t>
    </r>
  </si>
  <si>
    <r>
      <t>− T</t>
    </r>
    <r>
      <rPr>
        <vertAlign val="subscript"/>
        <sz val="11"/>
        <color theme="1"/>
        <rFont val="Calibri"/>
        <family val="2"/>
        <scheme val="minor"/>
      </rPr>
      <t>EB</t>
    </r>
  </si>
  <si>
    <r>
      <t>T</t>
    </r>
    <r>
      <rPr>
        <i/>
        <vertAlign val="subscript"/>
        <sz val="11"/>
        <color theme="1"/>
        <rFont val="Calibri"/>
        <family val="2"/>
        <scheme val="minor"/>
      </rPr>
      <t>EB</t>
    </r>
    <r>
      <rPr>
        <i/>
        <sz val="11"/>
        <color theme="1"/>
        <rFont val="Calibri"/>
        <family val="2"/>
        <scheme val="minor"/>
      </rPr>
      <t xml:space="preserve"> =</t>
    </r>
  </si>
  <si>
    <r>
      <t>T</t>
    </r>
    <r>
      <rPr>
        <b/>
        <vertAlign val="subscript"/>
        <sz val="11"/>
        <color theme="1"/>
        <rFont val="Calibri"/>
        <family val="2"/>
        <scheme val="minor"/>
      </rPr>
      <t>EB</t>
    </r>
    <r>
      <rPr>
        <b/>
        <sz val="11"/>
        <color theme="1"/>
        <rFont val="Calibri"/>
        <family val="2"/>
        <scheme val="minor"/>
      </rPr>
      <t xml:space="preserve"> =</t>
    </r>
  </si>
  <si>
    <t>Como no tenemos que tener en cuenta la esbeltez, para calcular la tensión máxima, se escoge la barra con mayor tensión en valor absoluto:</t>
  </si>
  <si>
    <t>A =</t>
  </si>
  <si>
    <t>Esp</t>
  </si>
  <si>
    <r>
      <t>N</t>
    </r>
    <r>
      <rPr>
        <vertAlign val="subscript"/>
        <sz val="11"/>
        <color theme="1"/>
        <rFont val="Calibri"/>
        <family val="2"/>
        <scheme val="minor"/>
      </rPr>
      <t>max</t>
    </r>
    <r>
      <rPr>
        <sz val="11"/>
        <color theme="1"/>
        <rFont val="Calibri"/>
        <family val="2"/>
        <scheme val="minor"/>
      </rPr>
      <t xml:space="preserve"> =</t>
    </r>
  </si>
  <si>
    <t>Tipo Secc.</t>
  </si>
  <si>
    <t>Tipo_Seccion</t>
  </si>
  <si>
    <t>Landa</t>
  </si>
  <si>
    <r>
      <t xml:space="preserve">L </t>
    </r>
    <r>
      <rPr>
        <vertAlign val="subscript"/>
        <sz val="11"/>
        <color theme="1"/>
        <rFont val="Calibri"/>
        <family val="2"/>
        <scheme val="minor"/>
      </rPr>
      <t>AB</t>
    </r>
    <r>
      <rPr>
        <sz val="11"/>
        <color theme="1"/>
        <rFont val="Calibri"/>
        <family val="2"/>
        <scheme val="minor"/>
      </rPr>
      <t xml:space="preserve"> =</t>
    </r>
  </si>
  <si>
    <r>
      <t xml:space="preserve">L </t>
    </r>
    <r>
      <rPr>
        <vertAlign val="subscript"/>
        <sz val="11"/>
        <color theme="1"/>
        <rFont val="Calibri"/>
        <family val="2"/>
        <scheme val="minor"/>
      </rPr>
      <t>AD</t>
    </r>
    <r>
      <rPr>
        <sz val="11"/>
        <color theme="1"/>
        <rFont val="Calibri"/>
        <family val="2"/>
        <scheme val="minor"/>
      </rPr>
      <t xml:space="preserve"> =</t>
    </r>
  </si>
  <si>
    <r>
      <t xml:space="preserve">d </t>
    </r>
    <r>
      <rPr>
        <b/>
        <vertAlign val="subscript"/>
        <sz val="11"/>
        <color theme="1"/>
        <rFont val="Calibri"/>
        <family val="2"/>
        <scheme val="minor"/>
      </rPr>
      <t>min</t>
    </r>
    <r>
      <rPr>
        <b/>
        <sz val="11"/>
        <color theme="1"/>
        <rFont val="Calibri"/>
        <family val="2"/>
        <scheme val="minor"/>
      </rPr>
      <t xml:space="preserve"> =</t>
    </r>
  </si>
  <si>
    <r>
      <t>L</t>
    </r>
    <r>
      <rPr>
        <b/>
        <vertAlign val="subscript"/>
        <sz val="11"/>
        <color theme="1"/>
        <rFont val="Calibri"/>
        <family val="2"/>
        <scheme val="minor"/>
      </rPr>
      <t>AD</t>
    </r>
    <r>
      <rPr>
        <b/>
        <sz val="11"/>
        <color theme="1"/>
        <rFont val="Calibri"/>
        <family val="2"/>
        <scheme val="minor"/>
      </rPr>
      <t xml:space="preserve"> =</t>
    </r>
  </si>
  <si>
    <r>
      <t>L</t>
    </r>
    <r>
      <rPr>
        <b/>
        <vertAlign val="subscript"/>
        <sz val="11"/>
        <color theme="1"/>
        <rFont val="Calibri"/>
        <family val="2"/>
        <scheme val="minor"/>
      </rPr>
      <t>AB</t>
    </r>
    <r>
      <rPr>
        <b/>
        <sz val="11"/>
        <color theme="1"/>
        <rFont val="Calibri"/>
        <family val="2"/>
        <scheme val="minor"/>
      </rPr>
      <t xml:space="preserve"> =</t>
    </r>
  </si>
  <si>
    <r>
      <t>L</t>
    </r>
    <r>
      <rPr>
        <b/>
        <vertAlign val="subscript"/>
        <sz val="11"/>
        <color theme="1"/>
        <rFont val="Calibri"/>
        <family val="2"/>
        <scheme val="minor"/>
      </rPr>
      <t>CE</t>
    </r>
    <r>
      <rPr>
        <b/>
        <sz val="11"/>
        <color theme="1"/>
        <rFont val="Calibri"/>
        <family val="2"/>
        <scheme val="minor"/>
      </rPr>
      <t xml:space="preserve"> =</t>
    </r>
  </si>
  <si>
    <r>
      <t>L</t>
    </r>
    <r>
      <rPr>
        <b/>
        <vertAlign val="subscript"/>
        <sz val="11"/>
        <color theme="1"/>
        <rFont val="Calibri"/>
        <family val="2"/>
        <scheme val="minor"/>
      </rPr>
      <t>DB</t>
    </r>
    <r>
      <rPr>
        <b/>
        <sz val="11"/>
        <color theme="1"/>
        <rFont val="Calibri"/>
        <family val="2"/>
        <scheme val="minor"/>
      </rPr>
      <t xml:space="preserve"> =</t>
    </r>
  </si>
  <si>
    <r>
      <t>L</t>
    </r>
    <r>
      <rPr>
        <b/>
        <vertAlign val="subscript"/>
        <sz val="11"/>
        <color theme="1"/>
        <rFont val="Calibri"/>
        <family val="2"/>
        <scheme val="minor"/>
      </rPr>
      <t>DE</t>
    </r>
    <r>
      <rPr>
        <b/>
        <sz val="11"/>
        <color theme="1"/>
        <rFont val="Calibri"/>
        <family val="2"/>
        <scheme val="minor"/>
      </rPr>
      <t xml:space="preserve"> =</t>
    </r>
  </si>
  <si>
    <t>;</t>
  </si>
  <si>
    <r>
      <t xml:space="preserve">L </t>
    </r>
    <r>
      <rPr>
        <b/>
        <vertAlign val="subscript"/>
        <sz val="11"/>
        <color theme="1"/>
        <rFont val="Calibri"/>
        <family val="2"/>
        <scheme val="minor"/>
      </rPr>
      <t>max</t>
    </r>
    <r>
      <rPr>
        <b/>
        <sz val="11"/>
        <color theme="1"/>
        <rFont val="Calibri"/>
        <family val="2"/>
        <scheme val="minor"/>
      </rPr>
      <t xml:space="preserve"> =</t>
    </r>
  </si>
  <si>
    <r>
      <t>T</t>
    </r>
    <r>
      <rPr>
        <b/>
        <vertAlign val="subscript"/>
        <sz val="11"/>
        <color theme="1"/>
        <rFont val="Calibri"/>
        <family val="2"/>
        <scheme val="minor"/>
      </rPr>
      <t>BE</t>
    </r>
    <r>
      <rPr>
        <b/>
        <sz val="11"/>
        <color theme="1"/>
        <rFont val="Calibri"/>
        <family val="2"/>
        <scheme val="minor"/>
      </rPr>
      <t xml:space="preserve"> =</t>
    </r>
  </si>
  <si>
    <t xml:space="preserve">Ahora hay que comprobar si las barras, con el esfuerzo al que están sometidas, aguantan con la sección mínima calculada. Para ello, se recopilan los esfuerzos en todas las barras y sus longitudes, y se estudian los más desfavorables: </t>
  </si>
  <si>
    <r>
      <t>σ</t>
    </r>
    <r>
      <rPr>
        <b/>
        <vertAlign val="subscript"/>
        <sz val="14"/>
        <color theme="1"/>
        <rFont val="Calibri"/>
        <family val="2"/>
        <scheme val="minor"/>
      </rPr>
      <t>T</t>
    </r>
    <r>
      <rPr>
        <b/>
        <sz val="14"/>
        <color theme="1"/>
        <rFont val="Calibri"/>
        <family val="2"/>
        <scheme val="minor"/>
      </rPr>
      <t xml:space="preserve"> =</t>
    </r>
  </si>
  <si>
    <r>
      <t>σ</t>
    </r>
    <r>
      <rPr>
        <vertAlign val="subscript"/>
        <sz val="11"/>
        <color theme="1"/>
        <rFont val="Calibri"/>
        <family val="2"/>
        <scheme val="minor"/>
      </rPr>
      <t>adm</t>
    </r>
    <r>
      <rPr>
        <sz val="11"/>
        <color theme="1"/>
        <rFont val="Calibri"/>
        <family val="2"/>
        <scheme val="minor"/>
      </rPr>
      <t xml:space="preserve"> =</t>
    </r>
  </si>
  <si>
    <r>
      <t>i</t>
    </r>
    <r>
      <rPr>
        <i/>
        <vertAlign val="subscript"/>
        <sz val="11"/>
        <color theme="1"/>
        <rFont val="Calibri"/>
        <family val="2"/>
        <scheme val="minor"/>
      </rPr>
      <t>min</t>
    </r>
    <r>
      <rPr>
        <i/>
        <sz val="11"/>
        <color theme="1"/>
        <rFont val="Calibri"/>
        <family val="2"/>
        <scheme val="minor"/>
      </rPr>
      <t xml:space="preserve"> =</t>
    </r>
  </si>
  <si>
    <r>
      <t>L</t>
    </r>
    <r>
      <rPr>
        <b/>
        <vertAlign val="subscript"/>
        <sz val="11"/>
        <color theme="1"/>
        <rFont val="Calibri"/>
        <family val="2"/>
        <scheme val="minor"/>
      </rPr>
      <t>BE</t>
    </r>
    <r>
      <rPr>
        <b/>
        <sz val="11"/>
        <color theme="1"/>
        <rFont val="Calibri"/>
        <family val="2"/>
        <scheme val="minor"/>
      </rPr>
      <t xml:space="preserve"> =</t>
    </r>
  </si>
  <si>
    <r>
      <t>L</t>
    </r>
    <r>
      <rPr>
        <b/>
        <vertAlign val="subscript"/>
        <sz val="11"/>
        <color theme="1"/>
        <rFont val="Calibri"/>
        <family val="2"/>
        <scheme val="minor"/>
      </rPr>
      <t>CB</t>
    </r>
    <r>
      <rPr>
        <b/>
        <sz val="11"/>
        <color theme="1"/>
        <rFont val="Calibri"/>
        <family val="2"/>
        <scheme val="minor"/>
      </rPr>
      <t xml:space="preserve"> =</t>
    </r>
  </si>
  <si>
    <r>
      <t>T</t>
    </r>
    <r>
      <rPr>
        <b/>
        <vertAlign val="subscript"/>
        <sz val="11"/>
        <color theme="1"/>
        <rFont val="Calibri"/>
        <family val="2"/>
        <scheme val="minor"/>
      </rPr>
      <t>CB</t>
    </r>
    <r>
      <rPr>
        <b/>
        <sz val="11"/>
        <color theme="1"/>
        <rFont val="Calibri"/>
        <family val="2"/>
        <scheme val="minor"/>
      </rPr>
      <t xml:space="preserve"> =</t>
    </r>
  </si>
  <si>
    <t>ω =</t>
  </si>
  <si>
    <t>⇒</t>
  </si>
  <si>
    <t xml:space="preserve">   d     </t>
  </si>
  <si>
    <r>
      <t xml:space="preserve"> ⇒ d</t>
    </r>
    <r>
      <rPr>
        <vertAlign val="subscript"/>
        <sz val="11"/>
        <color theme="1"/>
        <rFont val="Calibri"/>
        <family val="2"/>
        <scheme val="minor"/>
      </rPr>
      <t>T</t>
    </r>
    <r>
      <rPr>
        <sz val="11"/>
        <color theme="1"/>
        <rFont val="Calibri"/>
        <family val="2"/>
        <scheme val="minor"/>
      </rPr>
      <t xml:space="preserve"> =</t>
    </r>
  </si>
  <si>
    <t>w</t>
  </si>
  <si>
    <t>A/w</t>
  </si>
  <si>
    <t>d =</t>
  </si>
  <si>
    <t>Lado / D</t>
  </si>
  <si>
    <t>=</t>
  </si>
  <si>
    <r>
      <t>i</t>
    </r>
    <r>
      <rPr>
        <i/>
        <vertAlign val="subscript"/>
        <sz val="11"/>
        <color theme="1"/>
        <rFont val="Calibri"/>
        <family val="2"/>
        <scheme val="minor"/>
      </rPr>
      <t>min</t>
    </r>
  </si>
  <si>
    <t>↻ ↺ ↶ ↷ ← → ↖ ↗ ↑ ↓ ↕  ▽ ◁ ◀ △▲ ⁹  ⁶∑ − ●● ◉◉α°⇒ ₁ πλ</t>
  </si>
  <si>
    <t>𝜆 =</t>
  </si>
  <si>
    <t>𝜎 =</t>
  </si>
  <si>
    <r>
      <t>P</t>
    </r>
    <r>
      <rPr>
        <vertAlign val="subscript"/>
        <sz val="11"/>
        <color theme="1"/>
        <rFont val="Calibri"/>
        <family val="2"/>
        <scheme val="minor"/>
      </rPr>
      <t>max</t>
    </r>
  </si>
  <si>
    <t>· ω  =</t>
  </si>
  <si>
    <t>Landa Min</t>
  </si>
  <si>
    <t>Tipo</t>
  </si>
  <si>
    <t>alfa</t>
  </si>
  <si>
    <t>tensión</t>
  </si>
  <si>
    <t>D max</t>
  </si>
  <si>
    <r>
      <t xml:space="preserve">Continuamos por el </t>
    </r>
    <r>
      <rPr>
        <b/>
        <sz val="11"/>
        <color theme="1"/>
        <rFont val="Calibri"/>
        <family val="2"/>
        <scheme val="minor"/>
      </rPr>
      <t>NUDO C</t>
    </r>
    <r>
      <rPr>
        <sz val="11"/>
        <color theme="1"/>
        <rFont val="Calibri"/>
        <family val="2"/>
        <scheme val="minor"/>
      </rPr>
      <t xml:space="preserve">, pues es otro que solo tiene 2 barras desconocidas. Además, al no tener la barra BC componente vertical, empezamos por las fuerzas verticales, para sacar </t>
    </r>
    <r>
      <rPr>
        <b/>
        <sz val="11"/>
        <color theme="1"/>
        <rFont val="Calibri"/>
        <family val="2"/>
        <scheme val="minor"/>
      </rPr>
      <t>T</t>
    </r>
    <r>
      <rPr>
        <b/>
        <vertAlign val="subscript"/>
        <sz val="11"/>
        <color theme="1"/>
        <rFont val="Calibri"/>
        <family val="2"/>
        <scheme val="minor"/>
      </rPr>
      <t>CE</t>
    </r>
    <r>
      <rPr>
        <sz val="11"/>
        <color theme="1"/>
        <rFont val="Calibri"/>
        <family val="2"/>
        <scheme val="minor"/>
      </rPr>
      <t>:</t>
    </r>
  </si>
  <si>
    <t>Ángulo</t>
  </si>
  <si>
    <t>Tipo Imperf</t>
  </si>
  <si>
    <t>Tabla calcular diámetro Area / ω</t>
  </si>
  <si>
    <t>Tabla calcular diámetro en fundión σ</t>
  </si>
  <si>
    <t>TAD</t>
  </si>
  <si>
    <t>TAB</t>
  </si>
  <si>
    <t>TCE</t>
  </si>
  <si>
    <t>TDE</t>
  </si>
  <si>
    <t>Cercha</t>
  </si>
  <si>
    <t>AD</t>
  </si>
  <si>
    <t>AB</t>
  </si>
  <si>
    <t>DB</t>
  </si>
  <si>
    <t>DE</t>
  </si>
  <si>
    <t>BE</t>
  </si>
  <si>
    <t>CE</t>
  </si>
  <si>
    <t>CB</t>
  </si>
  <si>
    <t>R Horizontal</t>
  </si>
  <si>
    <t>R Vertical 1</t>
  </si>
  <si>
    <t>R Vertical 2</t>
  </si>
  <si>
    <t>TCB</t>
  </si>
  <si>
    <t>TDB</t>
  </si>
  <si>
    <t>d_DEF</t>
  </si>
  <si>
    <t>D min</t>
  </si>
  <si>
    <t>TBE</t>
  </si>
  <si>
    <t>200</t>
  </si>
  <si>
    <t>2) Los esfuerzos a los que está sometida cada barra (con dos decimales y en valor absoluto).</t>
  </si>
  <si>
    <t xml:space="preserve">Cerchas </t>
  </si>
  <si>
    <t>Ver Resultados</t>
  </si>
  <si>
    <t>Salto Línea</t>
  </si>
  <si>
    <t>Datos Fijos</t>
  </si>
  <si>
    <t>Lista Datos</t>
  </si>
  <si>
    <t>Nº Ini Prg. FTP</t>
  </si>
  <si>
    <t>Ver Datos</t>
  </si>
  <si>
    <t>IMPRIMIR</t>
  </si>
  <si>
    <t>N_Pb</t>
  </si>
  <si>
    <t>📃</t>
  </si>
  <si>
    <r>
      <t>Si se quiere pasar a PDF todos los problemas con los datos en esta hoja, se puede hacer usando la macro  "</t>
    </r>
    <r>
      <rPr>
        <b/>
        <i/>
        <sz val="11"/>
        <color rgb="FFE87B00"/>
        <rFont val="Calibri"/>
        <family val="2"/>
        <scheme val="minor"/>
      </rPr>
      <t>IMPRIMIR_PDF</t>
    </r>
    <r>
      <rPr>
        <sz val="11"/>
        <color rgb="FF005877"/>
        <rFont val="Calibri"/>
        <family val="2"/>
        <scheme val="minor"/>
      </rPr>
      <t xml:space="preserve">". El nombre del archivo con el que se quiere que se guarde, hay que ponerlo en la celda </t>
    </r>
    <r>
      <rPr>
        <b/>
        <sz val="11"/>
        <color rgb="FF005877"/>
        <rFont val="Calibri"/>
        <family val="2"/>
        <scheme val="minor"/>
      </rPr>
      <t>Nombre_Archivo</t>
    </r>
    <r>
      <rPr>
        <sz val="11"/>
        <color rgb="FF005877"/>
        <rFont val="Calibri"/>
        <family val="2"/>
        <scheme val="minor"/>
      </rPr>
      <t>.</t>
    </r>
  </si>
  <si>
    <r>
      <t>T</t>
    </r>
    <r>
      <rPr>
        <vertAlign val="subscript"/>
        <sz val="11"/>
        <color theme="1"/>
        <rFont val="Calibri"/>
        <family val="2"/>
        <scheme val="minor"/>
      </rPr>
      <t>DE</t>
    </r>
    <r>
      <rPr>
        <sz val="11"/>
        <color theme="1"/>
        <rFont val="Calibri"/>
        <family val="2"/>
        <scheme val="minor"/>
      </rPr>
      <t xml:space="preserve">
</t>
    </r>
  </si>
  <si>
    <r>
      <t xml:space="preserve">Ahora podríamos ir a cualquier otro nudo, pues en todos tenemos solo dos barras desconocidas, elegimos el </t>
    </r>
    <r>
      <rPr>
        <b/>
        <sz val="11"/>
        <color theme="1"/>
        <rFont val="Calibri"/>
        <family val="2"/>
        <scheme val="minor"/>
      </rPr>
      <t>NUDO D</t>
    </r>
    <r>
      <rPr>
        <sz val="11"/>
        <color theme="1"/>
        <rFont val="Calibri"/>
        <family val="2"/>
        <scheme val="minor"/>
      </rPr>
      <t xml:space="preserve">, pues tiene una barra con sólo componente horizontal desconocidas </t>
    </r>
    <r>
      <rPr>
        <b/>
        <sz val="11"/>
        <color theme="1"/>
        <rFont val="Calibri"/>
        <family val="2"/>
        <scheme val="minor"/>
      </rPr>
      <t>T</t>
    </r>
    <r>
      <rPr>
        <b/>
        <vertAlign val="subscript"/>
        <sz val="11"/>
        <color theme="1"/>
        <rFont val="Calibri"/>
        <family val="2"/>
        <scheme val="minor"/>
      </rPr>
      <t>DE</t>
    </r>
    <r>
      <rPr>
        <sz val="11"/>
        <color theme="1"/>
        <rFont val="Calibri"/>
        <family val="2"/>
        <scheme val="minor"/>
      </rPr>
      <t>:</t>
    </r>
  </si>
  <si>
    <t>https://i.ibb.co/Ssb0PNT/Cercha-Tipo-1.png</t>
  </si>
  <si>
    <t>Para calcular la sección mínima, una de las cosas que hay que tener en cuenta es la esbeltez. Para ello, se escoge la barra más larga, que será la que más longitud de pandeo tenga. 
Por otro lado, al tratarse de una cercha y estar todas las barras articuladas en sus extremos, sabemos que el coeficiente de pandeo β = 1.</t>
  </si>
  <si>
    <t>1) Las Reacciones en los apoyos (con dos decimales y en valor absoluto) y su dirección.</t>
  </si>
  <si>
    <t>FastTest PlugIn</t>
  </si>
  <si>
    <t xml:space="preserve"> 
</t>
  </si>
  <si>
    <t xml:space="preserve">
</t>
  </si>
  <si>
    <t>TOLERANCIA
1</t>
  </si>
  <si>
    <t>TOLERANCIA
2</t>
  </si>
  <si>
    <t>TOLERANCIA
3</t>
  </si>
  <si>
    <t>RESTO
ERROR</t>
  </si>
  <si>
    <t>%100%</t>
  </si>
  <si>
    <t>~%95%</t>
  </si>
  <si>
    <t>~%85%</t>
  </si>
  <si>
    <t>~%-10%</t>
  </si>
  <si>
    <t>¡Muy bien!</t>
  </si>
  <si>
    <t>Bien, pero cuidado con los redondeos.</t>
  </si>
  <si>
    <t>Valor aproximado, pero no exacto.</t>
  </si>
  <si>
    <t>Incorrecto, repasa los cálculos.</t>
  </si>
  <si>
    <t>% tolerancia</t>
  </si>
  <si>
    <t>⇐ RETROALI-
MENTACIÓN</t>
  </si>
  <si>
    <t>⇐ % PUNTUCIÓN NUMÉRICAS</t>
  </si>
  <si>
    <t>PUNTOS
apartado
⇓</t>
  </si>
  <si>
    <t>IMAGEN ⇒</t>
  </si>
  <si>
    <t>1.5.</t>
  </si>
  <si>
    <r>
      <t>En la celda "</t>
    </r>
    <r>
      <rPr>
        <b/>
        <i/>
        <sz val="11"/>
        <color rgb="FFE87B00"/>
        <rFont val="Calibri"/>
        <family val="2"/>
        <scheme val="minor"/>
      </rPr>
      <t>SUB_CARPETA</t>
    </r>
    <r>
      <rPr>
        <sz val="11"/>
        <color rgb="FF005877"/>
        <rFont val="Calibri"/>
        <family val="2"/>
        <scheme val="minor"/>
      </rPr>
      <t>", se escribirá el nombre de la subcarpeta en la que se quieran guardar las imágenes (en caso de querer usar la macro correspondiente ""). La celda siguiente "</t>
    </r>
    <r>
      <rPr>
        <b/>
        <i/>
        <sz val="11"/>
        <color rgb="FFE87B00"/>
        <rFont val="Calibri"/>
        <family val="2"/>
        <scheme val="minor"/>
      </rPr>
      <t>Multiplo_Img</t>
    </r>
    <r>
      <rPr>
        <sz val="11"/>
        <color rgb="FF005877"/>
        <rFont val="Calibri"/>
        <family val="2"/>
        <scheme val="minor"/>
      </rPr>
      <t>" se indicará la escala a la que se quiere exportar la imagen. Hacer pruebas para ver el tamaño apropiado. Para guardar las imágenes, ejecutar la macro "</t>
    </r>
    <r>
      <rPr>
        <b/>
        <i/>
        <sz val="11"/>
        <color rgb="FFE87B00"/>
        <rFont val="Calibri"/>
        <family val="2"/>
        <scheme val="minor"/>
      </rPr>
      <t>Imagenes_Guarda_Datos_Fijos</t>
    </r>
    <r>
      <rPr>
        <sz val="11"/>
        <color rgb="FF005877"/>
        <rFont val="Calibri"/>
        <family val="2"/>
        <scheme val="minor"/>
      </rPr>
      <t>".</t>
    </r>
  </si>
  <si>
    <t>1.6.</t>
  </si>
  <si>
    <t>2. RESULTADOS - FTP (para preparar problemas para Moodle con FastTest PlugIn)</t>
  </si>
  <si>
    <t>2.2.</t>
  </si>
  <si>
    <t>2.3.</t>
  </si>
  <si>
    <t>2.4.</t>
  </si>
  <si>
    <t>2.5.</t>
  </si>
  <si>
    <t>2.6.</t>
  </si>
  <si>
    <r>
      <t xml:space="preserve">Esta hoja es para insertar los datos necesarios para pasar el problema a Moodle, con </t>
    </r>
    <r>
      <rPr>
        <b/>
        <sz val="11"/>
        <color rgb="FFE87B00"/>
        <rFont val="Calibri"/>
        <family val="2"/>
        <scheme val="minor"/>
      </rPr>
      <t>FastTest PlugIn</t>
    </r>
    <r>
      <rPr>
        <sz val="11"/>
        <color rgb="FF005877"/>
        <rFont val="Calibri"/>
        <family val="2"/>
        <scheme val="minor"/>
      </rPr>
      <t xml:space="preserve">. </t>
    </r>
  </si>
  <si>
    <t>3. DATOS FIJOS (para ver los datos de los problemas guardados)</t>
  </si>
  <si>
    <t>3.1.</t>
  </si>
  <si>
    <t>3.2.</t>
  </si>
  <si>
    <r>
      <t xml:space="preserve">Si en el enunciado queremos introducir </t>
    </r>
    <r>
      <rPr>
        <b/>
        <sz val="11"/>
        <color rgb="FF005877"/>
        <rFont val="Calibri"/>
        <family val="2"/>
        <scheme val="minor"/>
      </rPr>
      <t xml:space="preserve">Saltos de Línea </t>
    </r>
    <r>
      <rPr>
        <sz val="11"/>
        <color rgb="FF005877"/>
        <rFont val="Calibri"/>
        <family val="2"/>
        <scheme val="minor"/>
      </rPr>
      <t>para</t>
    </r>
    <r>
      <rPr>
        <b/>
        <sz val="11"/>
        <color rgb="FF005877"/>
        <rFont val="Calibri"/>
        <family val="2"/>
        <scheme val="minor"/>
      </rPr>
      <t xml:space="preserve"> </t>
    </r>
    <r>
      <rPr>
        <b/>
        <sz val="11"/>
        <color theme="5"/>
        <rFont val="Calibri"/>
        <family val="2"/>
        <scheme val="minor"/>
      </rPr>
      <t>FastTest PlugIn</t>
    </r>
    <r>
      <rPr>
        <sz val="11"/>
        <color rgb="FF005877"/>
        <rFont val="Calibri"/>
        <family val="2"/>
        <scheme val="minor"/>
      </rPr>
      <t xml:space="preserve">, debemos seleccionar el tipo de salto (&lt;br&gt; para un salto pequeño y &lt;p&gt; para un salto grande) en la celda </t>
    </r>
    <r>
      <rPr>
        <b/>
        <sz val="11"/>
        <color rgb="FF005877"/>
        <rFont val="Calibri"/>
        <family val="2"/>
        <scheme val="minor"/>
      </rPr>
      <t>Salto</t>
    </r>
    <r>
      <rPr>
        <sz val="11"/>
        <color rgb="FF005877"/>
        <rFont val="Calibri"/>
        <family val="2"/>
        <scheme val="minor"/>
      </rPr>
      <t>. Si lo hemos introducido, pero queremos imprimir el ejercicio en PDF, solo habría que borrar el dato de la celda SALTO y no se imprimiría.</t>
    </r>
  </si>
  <si>
    <r>
      <t xml:space="preserve">Las celdas </t>
    </r>
    <r>
      <rPr>
        <b/>
        <sz val="11"/>
        <color rgb="FFFF0000"/>
        <rFont val="Calibri"/>
        <family val="2"/>
        <scheme val="minor"/>
      </rPr>
      <t>Ver Datos</t>
    </r>
    <r>
      <rPr>
        <b/>
        <sz val="11"/>
        <color rgb="FF005877"/>
        <rFont val="Calibri"/>
        <family val="2"/>
        <scheme val="minor"/>
      </rPr>
      <t xml:space="preserve"> / </t>
    </r>
    <r>
      <rPr>
        <b/>
        <sz val="11"/>
        <color rgb="FFFF0000"/>
        <rFont val="Calibri"/>
        <family val="2"/>
        <scheme val="minor"/>
      </rPr>
      <t>Ver Resultado</t>
    </r>
    <r>
      <rPr>
        <b/>
        <sz val="11"/>
        <color rgb="FF005877"/>
        <rFont val="Calibri"/>
        <family val="2"/>
        <scheme val="minor"/>
      </rPr>
      <t xml:space="preserve"> </t>
    </r>
    <r>
      <rPr>
        <sz val="11"/>
        <color rgb="FF005877"/>
        <rFont val="Calibri"/>
        <family val="2"/>
        <scheme val="minor"/>
      </rPr>
      <t>(SÍ/NO), son para indicar si queremos que se muestren los datos/resultados en la Figura del problema.</t>
    </r>
  </si>
  <si>
    <r>
      <t xml:space="preserve">Antes de exportar las preguntas, asegurarse de haber puesto un </t>
    </r>
    <r>
      <rPr>
        <b/>
        <sz val="11"/>
        <color rgb="FF005877"/>
        <rFont val="Calibri"/>
        <family val="2"/>
        <scheme val="minor"/>
      </rPr>
      <t xml:space="preserve">Salto &lt;br&gt; o &lt;p&gt; </t>
    </r>
    <r>
      <rPr>
        <sz val="11"/>
        <color rgb="FF005877"/>
        <rFont val="Calibri"/>
        <family val="2"/>
        <scheme val="minor"/>
      </rPr>
      <t>para que se exporte el problema con los saltos de línea correspondientes. Si la celda Salto (a la izquierda) está en amarillo, es porque no está puesto ningún tipo de salto introducido.</t>
    </r>
  </si>
  <si>
    <t>NM</t>
  </si>
  <si>
    <t>MC</t>
  </si>
  <si>
    <r>
      <t>En esta hoja se introducen los Valores que se quieren dar a cada uno de los apartados del problema. Hay apartados de Opción Múltiple (</t>
    </r>
    <r>
      <rPr>
        <b/>
        <sz val="11"/>
        <color rgb="FF005877"/>
        <rFont val="Calibri"/>
        <family val="2"/>
        <scheme val="minor"/>
      </rPr>
      <t>MC</t>
    </r>
    <r>
      <rPr>
        <sz val="11"/>
        <color rgb="FF005877"/>
        <rFont val="Calibri"/>
        <family val="2"/>
        <scheme val="minor"/>
      </rPr>
      <t>) y Numéricas (</t>
    </r>
    <r>
      <rPr>
        <b/>
        <sz val="11"/>
        <color rgb="FF005877"/>
        <rFont val="Calibri"/>
        <family val="2"/>
        <scheme val="minor"/>
      </rPr>
      <t>NM</t>
    </r>
    <r>
      <rPr>
        <sz val="11"/>
        <color rgb="FF005877"/>
        <rFont val="Calibri"/>
        <family val="2"/>
        <scheme val="minor"/>
      </rPr>
      <t xml:space="preserve">). También se pueden cambiar los % de las tolerancias en las respuestas Numéricas. </t>
    </r>
    <r>
      <rPr>
        <b/>
        <sz val="11"/>
        <color rgb="FF005877"/>
        <rFont val="Calibri"/>
        <family val="2"/>
        <scheme val="minor"/>
      </rPr>
      <t>Hay unos valores por defecto, pero se pueden modificar.</t>
    </r>
  </si>
  <si>
    <r>
      <t xml:space="preserve">Los </t>
    </r>
    <r>
      <rPr>
        <b/>
        <sz val="11"/>
        <color rgb="FFFF0000"/>
        <rFont val="Calibri"/>
        <family val="2"/>
        <scheme val="minor"/>
      </rPr>
      <t xml:space="preserve">Puntos Apartado </t>
    </r>
    <r>
      <rPr>
        <sz val="11"/>
        <color rgb="FF005877"/>
        <rFont val="Calibri"/>
        <family val="2"/>
        <scheme val="minor"/>
      </rPr>
      <t>son los puntos que queremos que tenga cada apartado dentro de una pregunta. Los apartados similares tendrán la misma putuación. Las preguntas Numéricas se puntúan más que las Opción Múltiple, pero se pueden cambiar.</t>
    </r>
  </si>
  <si>
    <r>
      <t xml:space="preserve">A las preguntas </t>
    </r>
    <r>
      <rPr>
        <b/>
        <sz val="11"/>
        <color rgb="FF005877"/>
        <rFont val="Calibri"/>
        <family val="2"/>
        <scheme val="minor"/>
      </rPr>
      <t>NUMÉRICAS</t>
    </r>
    <r>
      <rPr>
        <sz val="11"/>
        <color rgb="FF005877"/>
        <rFont val="Calibri"/>
        <family val="2"/>
        <scheme val="minor"/>
      </rPr>
      <t xml:space="preserve"> se les pueden poner </t>
    </r>
    <r>
      <rPr>
        <b/>
        <sz val="11"/>
        <color rgb="FFFF0000"/>
        <rFont val="Calibri"/>
        <family val="2"/>
        <scheme val="minor"/>
      </rPr>
      <t xml:space="preserve">Tolerancias </t>
    </r>
    <r>
      <rPr>
        <sz val="11"/>
        <color rgb="FF005877"/>
        <rFont val="Calibri"/>
        <family val="2"/>
        <scheme val="minor"/>
      </rPr>
      <t xml:space="preserve">(hasta 3). Si no se quieren usar, es suficiente con poner 0 o borrarlo. El % que se indica es la tolerancia que se le da a la solución numérica, con la nota de la Tolerancia indicada arriba de cada columna. Si se quiere que la </t>
    </r>
    <r>
      <rPr>
        <b/>
        <sz val="11"/>
        <color rgb="FF005877"/>
        <rFont val="Calibri"/>
        <family val="2"/>
        <scheme val="minor"/>
      </rPr>
      <t>Respuesta Incorrecta</t>
    </r>
    <r>
      <rPr>
        <sz val="11"/>
        <color rgb="FF005877"/>
        <rFont val="Calibri"/>
        <family val="2"/>
        <scheme val="minor"/>
      </rPr>
      <t xml:space="preserve">, fuera de las tolerancias anteriores, </t>
    </r>
    <r>
      <rPr>
        <b/>
        <sz val="11"/>
        <color rgb="FF005877"/>
        <rFont val="Calibri"/>
        <family val="2"/>
        <scheme val="minor"/>
      </rPr>
      <t>reste puntos</t>
    </r>
    <r>
      <rPr>
        <sz val="11"/>
        <color rgb="FF005877"/>
        <rFont val="Calibri"/>
        <family val="2"/>
        <scheme val="minor"/>
      </rPr>
      <t xml:space="preserve">, dar una tolerancia muy grande (poniendo un valor muy alto, por ejemplo 100000) en la columna </t>
    </r>
    <r>
      <rPr>
        <b/>
        <sz val="11"/>
        <color rgb="FFFF0000"/>
        <rFont val="Calibri"/>
        <family val="2"/>
        <scheme val="minor"/>
      </rPr>
      <t>RESTO ERROR</t>
    </r>
    <r>
      <rPr>
        <sz val="11"/>
        <color rgb="FF005877"/>
        <rFont val="Calibri"/>
        <family val="2"/>
        <scheme val="minor"/>
      </rPr>
      <t>.</t>
    </r>
  </si>
  <si>
    <r>
      <t xml:space="preserve">Las preguntas Opción Múltiple, se puede poner que la respuesta incorrecta reste puntos en la columna </t>
    </r>
    <r>
      <rPr>
        <b/>
        <sz val="11"/>
        <color rgb="FFFF0000"/>
        <rFont val="Calibri"/>
        <family val="2"/>
        <scheme val="minor"/>
      </rPr>
      <t>RESTO ERROR</t>
    </r>
    <r>
      <rPr>
        <sz val="11"/>
        <color rgb="FF005877"/>
        <rFont val="Calibri"/>
        <family val="2"/>
        <scheme val="minor"/>
      </rPr>
      <t>. Si no se quiere que reste puntos, poner a 0 o borrar.</t>
    </r>
  </si>
  <si>
    <t>SE PUEDEN AÑADIR HOJAS EN EL ARCHIVO, SI SE ESTIMA OPORTUNO</t>
  </si>
  <si>
    <t>3.4.</t>
  </si>
  <si>
    <t>3.3.</t>
  </si>
  <si>
    <r>
      <t xml:space="preserve">Para </t>
    </r>
    <r>
      <rPr>
        <b/>
        <sz val="11"/>
        <color rgb="FF005877"/>
        <rFont val="Calibri"/>
        <family val="2"/>
        <scheme val="minor"/>
      </rPr>
      <t>GENERAR</t>
    </r>
    <r>
      <rPr>
        <sz val="11"/>
        <color rgb="FF005877"/>
        <rFont val="Calibri"/>
        <family val="2"/>
        <scheme val="minor"/>
      </rPr>
      <t xml:space="preserve"> nuevos problemas se debe pulsar el botón </t>
    </r>
    <r>
      <rPr>
        <b/>
        <sz val="11"/>
        <color theme="5"/>
        <rFont val="Calibri"/>
        <family val="2"/>
        <scheme val="minor"/>
      </rPr>
      <t>Generar Datos</t>
    </r>
    <r>
      <rPr>
        <sz val="11"/>
        <color rgb="FF005877"/>
        <rFont val="Calibri"/>
        <family val="2"/>
        <scheme val="minor"/>
      </rPr>
      <t>.</t>
    </r>
  </si>
  <si>
    <r>
      <t>Si se necesita pasar a PDF los problemas con los datos en esta hoja, se puede hacer usando la macro  "</t>
    </r>
    <r>
      <rPr>
        <b/>
        <i/>
        <sz val="11"/>
        <color rgb="FFE87B00"/>
        <rFont val="Calibri"/>
        <family val="2"/>
        <scheme val="minor"/>
      </rPr>
      <t>IMPRIMIR_PDF</t>
    </r>
    <r>
      <rPr>
        <sz val="11"/>
        <color rgb="FF005877"/>
        <rFont val="Calibri"/>
        <family val="2"/>
        <scheme val="minor"/>
      </rPr>
      <t xml:space="preserve">". Si se quiere pasar a PDF solo algunos de los problemas con los datos en esta hoja, se tiene que poner </t>
    </r>
    <r>
      <rPr>
        <b/>
        <sz val="11"/>
        <color rgb="FF005877"/>
        <rFont val="Calibri"/>
        <family val="2"/>
        <scheme val="minor"/>
      </rPr>
      <t xml:space="preserve">NO </t>
    </r>
    <r>
      <rPr>
        <sz val="11"/>
        <color rgb="FF005877"/>
        <rFont val="Calibri"/>
        <family val="2"/>
        <scheme val="minor"/>
      </rPr>
      <t xml:space="preserve">en </t>
    </r>
    <r>
      <rPr>
        <b/>
        <sz val="11"/>
        <color rgb="FF005877"/>
        <rFont val="Calibri"/>
        <family val="2"/>
        <scheme val="minor"/>
      </rPr>
      <t>IMPRIMIR TODO</t>
    </r>
    <r>
      <rPr>
        <sz val="11"/>
        <color rgb="FF005877"/>
        <rFont val="Calibri"/>
        <family val="2"/>
        <scheme val="minor"/>
      </rPr>
      <t xml:space="preserve"> y una cruz en la fila de los problemas que se quieren imprimir, en la columna </t>
    </r>
    <r>
      <rPr>
        <b/>
        <sz val="11"/>
        <color rgb="FFFF0000"/>
        <rFont val="Calibri"/>
        <family val="2"/>
        <scheme val="minor"/>
      </rPr>
      <t>IMPRIMIR</t>
    </r>
    <r>
      <rPr>
        <sz val="11"/>
        <color rgb="FF005877"/>
        <rFont val="Calibri"/>
        <family val="2"/>
        <scheme val="minor"/>
      </rPr>
      <t xml:space="preserve">. El nombre del archivo con el que se quiere que se guarde, hay que ponerlo en la celda </t>
    </r>
    <r>
      <rPr>
        <b/>
        <sz val="11"/>
        <color rgb="FF005877"/>
        <rFont val="Calibri"/>
        <family val="2"/>
        <scheme val="minor"/>
      </rPr>
      <t>Nombre_Archivo</t>
    </r>
    <r>
      <rPr>
        <sz val="11"/>
        <color rgb="FF005877"/>
        <rFont val="Calibri"/>
        <family val="2"/>
        <scheme val="minor"/>
      </rPr>
      <t xml:space="preserve">. que está en la hoja </t>
    </r>
    <r>
      <rPr>
        <b/>
        <sz val="11"/>
        <color theme="4" tint="-0.249977111117893"/>
        <rFont val="Calibri"/>
        <family val="2"/>
        <scheme val="minor"/>
      </rPr>
      <t>PROBLEMA</t>
    </r>
    <r>
      <rPr>
        <sz val="11"/>
        <color rgb="FF005877"/>
        <rFont val="Calibri"/>
        <family val="2"/>
        <scheme val="minor"/>
      </rPr>
      <t>.</t>
    </r>
  </si>
  <si>
    <t>Seccion</t>
  </si>
  <si>
    <t>Nº</t>
  </si>
  <si>
    <t>2.7.</t>
  </si>
  <si>
    <r>
      <t xml:space="preserve">La celda </t>
    </r>
    <r>
      <rPr>
        <b/>
        <sz val="11"/>
        <color rgb="FFFF0000"/>
        <rFont val="Calibri"/>
        <family val="2"/>
        <scheme val="minor"/>
      </rPr>
      <t>Datos Fijos</t>
    </r>
    <r>
      <rPr>
        <b/>
        <sz val="11"/>
        <color rgb="FF005877"/>
        <rFont val="Calibri"/>
        <family val="2"/>
        <scheme val="minor"/>
      </rPr>
      <t xml:space="preserve"> </t>
    </r>
    <r>
      <rPr>
        <sz val="11"/>
        <color rgb="FF005877"/>
        <rFont val="Calibri"/>
        <family val="2"/>
        <scheme val="minor"/>
      </rPr>
      <t xml:space="preserve">(SÍ/NO), es para decir si queremos que los datos sean FIJOS de la hoja </t>
    </r>
    <r>
      <rPr>
        <b/>
        <sz val="11"/>
        <color rgb="FF005877"/>
        <rFont val="Calibri"/>
        <family val="2"/>
        <scheme val="minor"/>
      </rPr>
      <t xml:space="preserve">DATOS FIJOS </t>
    </r>
    <r>
      <rPr>
        <sz val="11"/>
        <color rgb="FF005877"/>
        <rFont val="Calibri"/>
        <family val="2"/>
        <scheme val="minor"/>
      </rPr>
      <t xml:space="preserve">o que salgan los </t>
    </r>
    <r>
      <rPr>
        <b/>
        <sz val="11"/>
        <color rgb="FF005877"/>
        <rFont val="Calibri"/>
        <family val="2"/>
        <scheme val="minor"/>
      </rPr>
      <t xml:space="preserve">VALORES ALEATORIOS </t>
    </r>
    <r>
      <rPr>
        <sz val="11"/>
        <color rgb="FF005877"/>
        <rFont val="Calibri"/>
        <family val="2"/>
        <scheme val="minor"/>
      </rPr>
      <t xml:space="preserve">con los que se ha configurado el problema. En el archivo origen hay 4 problemas.
Los valores fijos están rellenos con unos datos concretos en la hoja </t>
    </r>
    <r>
      <rPr>
        <b/>
        <sz val="11"/>
        <color rgb="FF00B0F0"/>
        <rFont val="Calibri"/>
        <family val="2"/>
        <scheme val="minor"/>
      </rPr>
      <t>DATOS FIJOS</t>
    </r>
    <r>
      <rPr>
        <b/>
        <sz val="11"/>
        <color rgb="FF005877"/>
        <rFont val="Calibri"/>
        <family val="2"/>
        <scheme val="minor"/>
      </rPr>
      <t xml:space="preserve">. </t>
    </r>
    <r>
      <rPr>
        <sz val="11"/>
        <color rgb="FF005877"/>
        <rFont val="Calibri"/>
        <family val="2"/>
        <scheme val="minor"/>
      </rPr>
      <t xml:space="preserve">Se pueden </t>
    </r>
    <r>
      <rPr>
        <b/>
        <sz val="11"/>
        <color rgb="FF005877"/>
        <rFont val="Calibri"/>
        <family val="2"/>
        <scheme val="minor"/>
      </rPr>
      <t xml:space="preserve">seleccionar </t>
    </r>
    <r>
      <rPr>
        <sz val="11"/>
        <color rgb="FF005877"/>
        <rFont val="Calibri"/>
        <family val="2"/>
        <scheme val="minor"/>
      </rPr>
      <t xml:space="preserve">los datos con los que se quiere trabajar </t>
    </r>
    <r>
      <rPr>
        <b/>
        <sz val="11"/>
        <color rgb="FF005877"/>
        <rFont val="Calibri"/>
        <family val="2"/>
        <scheme val="minor"/>
      </rPr>
      <t xml:space="preserve">de la lista </t>
    </r>
    <r>
      <rPr>
        <sz val="11"/>
        <color rgb="FF005877"/>
        <rFont val="Calibri"/>
        <family val="2"/>
        <scheme val="minor"/>
      </rPr>
      <t xml:space="preserve">desplegable </t>
    </r>
    <r>
      <rPr>
        <b/>
        <sz val="11"/>
        <color rgb="FFFF0000"/>
        <rFont val="Calibri"/>
        <family val="2"/>
        <scheme val="minor"/>
      </rPr>
      <t>Lista Datos</t>
    </r>
    <r>
      <rPr>
        <b/>
        <sz val="11"/>
        <color rgb="FF005877"/>
        <rFont val="Calibri"/>
        <family val="2"/>
        <scheme val="minor"/>
      </rPr>
      <t>.</t>
    </r>
  </si>
  <si>
    <t>Nº Pb Aleat. a imprimir</t>
  </si>
  <si>
    <t>Nº Inicial a Exportar de DATOS FIJOS</t>
  </si>
  <si>
    <t>1.7.</t>
  </si>
  <si>
    <r>
      <t xml:space="preserve">Se pueden generar </t>
    </r>
    <r>
      <rPr>
        <b/>
        <sz val="11"/>
        <color rgb="FFFF0000"/>
        <rFont val="Calibri"/>
        <family val="2"/>
        <scheme val="minor"/>
      </rPr>
      <t>Datos Fijos</t>
    </r>
    <r>
      <rPr>
        <b/>
        <sz val="11"/>
        <color rgb="FF005877"/>
        <rFont val="Calibri"/>
        <family val="2"/>
        <scheme val="minor"/>
      </rPr>
      <t xml:space="preserve"> </t>
    </r>
    <r>
      <rPr>
        <sz val="11"/>
        <color rgb="FF005877"/>
        <rFont val="Calibri"/>
        <family val="2"/>
        <scheme val="minor"/>
      </rPr>
      <t xml:space="preserve">con diferentes configuraciones de cargas y apoyos en la cercha. Para ello, debes ir a la hoja </t>
    </r>
    <r>
      <rPr>
        <b/>
        <sz val="11"/>
        <color rgb="FF00B0F0"/>
        <rFont val="Calibri"/>
        <family val="2"/>
        <scheme val="minor"/>
      </rPr>
      <t>DATOS FIJOS</t>
    </r>
    <r>
      <rPr>
        <sz val="11"/>
        <color rgb="FF005877"/>
        <rFont val="Calibri"/>
        <family val="2"/>
        <scheme val="minor"/>
      </rPr>
      <t xml:space="preserve">, luego, se pueden </t>
    </r>
    <r>
      <rPr>
        <b/>
        <sz val="11"/>
        <color rgb="FF005877"/>
        <rFont val="Calibri"/>
        <family val="2"/>
        <scheme val="minor"/>
      </rPr>
      <t xml:space="preserve">seleccionar </t>
    </r>
    <r>
      <rPr>
        <sz val="11"/>
        <color rgb="FF005877"/>
        <rFont val="Calibri"/>
        <family val="2"/>
        <scheme val="minor"/>
      </rPr>
      <t xml:space="preserve">los datos con los que se quiere trabajar </t>
    </r>
    <r>
      <rPr>
        <b/>
        <sz val="11"/>
        <color rgb="FF005877"/>
        <rFont val="Calibri"/>
        <family val="2"/>
        <scheme val="minor"/>
      </rPr>
      <t xml:space="preserve">de la lista </t>
    </r>
    <r>
      <rPr>
        <sz val="11"/>
        <color rgb="FF005877"/>
        <rFont val="Calibri"/>
        <family val="2"/>
        <scheme val="minor"/>
      </rPr>
      <t xml:space="preserve">desplegable </t>
    </r>
    <r>
      <rPr>
        <b/>
        <sz val="11"/>
        <color rgb="FFFF0000"/>
        <rFont val="Calibri"/>
        <family val="2"/>
        <scheme val="minor"/>
      </rPr>
      <t>Lista Datos</t>
    </r>
    <r>
      <rPr>
        <sz val="11"/>
        <color rgb="FF005877"/>
        <rFont val="Calibri"/>
        <family val="2"/>
        <scheme val="minor"/>
      </rPr>
      <t xml:space="preserve">. </t>
    </r>
  </si>
  <si>
    <r>
      <t xml:space="preserve">En esta hoja se muestran los datos con </t>
    </r>
    <r>
      <rPr>
        <b/>
        <sz val="11"/>
        <color rgb="FF005877"/>
        <rFont val="Calibri"/>
        <family val="2"/>
        <scheme val="minor"/>
      </rPr>
      <t>VALORES FIJOS</t>
    </r>
    <r>
      <rPr>
        <sz val="11"/>
        <color rgb="FF005877"/>
        <rFont val="Calibri"/>
        <family val="2"/>
        <scheme val="minor"/>
      </rPr>
      <t xml:space="preserve">, para preparar problemas y tenerlos guardados. </t>
    </r>
  </si>
  <si>
    <r>
      <t xml:space="preserve">Para </t>
    </r>
    <r>
      <rPr>
        <b/>
        <sz val="11"/>
        <color rgb="FF005877"/>
        <rFont val="Calibri"/>
        <family val="2"/>
        <scheme val="minor"/>
      </rPr>
      <t>BORRAR</t>
    </r>
    <r>
      <rPr>
        <sz val="11"/>
        <color rgb="FF005877"/>
        <rFont val="Calibri"/>
        <family val="2"/>
        <scheme val="minor"/>
      </rPr>
      <t xml:space="preserve"> problemas se debe pulsar el botón </t>
    </r>
    <r>
      <rPr>
        <b/>
        <sz val="11"/>
        <color theme="5"/>
        <rFont val="Calibri"/>
        <family val="2"/>
        <scheme val="minor"/>
      </rPr>
      <t>Borrar Datos</t>
    </r>
    <r>
      <rPr>
        <sz val="11"/>
        <color rgb="FF005877"/>
        <rFont val="Calibri"/>
        <family val="2"/>
        <scheme val="minor"/>
      </rPr>
      <t xml:space="preserve">. Se pueden borrar </t>
    </r>
    <r>
      <rPr>
        <b/>
        <sz val="11"/>
        <color rgb="FF005877"/>
        <rFont val="Calibri"/>
        <family val="2"/>
        <scheme val="minor"/>
      </rPr>
      <t xml:space="preserve">TODOS </t>
    </r>
    <r>
      <rPr>
        <sz val="11"/>
        <color rgb="FF005877"/>
        <rFont val="Calibri"/>
        <family val="2"/>
        <scheme val="minor"/>
      </rPr>
      <t xml:space="preserve">los datos de una vez, </t>
    </r>
    <r>
      <rPr>
        <b/>
        <sz val="11"/>
        <color rgb="FF005877"/>
        <rFont val="Calibri"/>
        <family val="2"/>
        <scheme val="minor"/>
      </rPr>
      <t>una línea sola</t>
    </r>
    <r>
      <rPr>
        <sz val="11"/>
        <color rgb="FF005877"/>
        <rFont val="Calibri"/>
        <family val="2"/>
        <scheme val="minor"/>
      </rPr>
      <t xml:space="preserve"> o </t>
    </r>
    <r>
      <rPr>
        <b/>
        <sz val="11"/>
        <color rgb="FF005877"/>
        <rFont val="Calibri"/>
        <family val="2"/>
        <scheme val="minor"/>
      </rPr>
      <t xml:space="preserve">varios </t>
    </r>
    <r>
      <rPr>
        <sz val="11"/>
        <color rgb="FF005877"/>
        <rFont val="Calibri"/>
        <family val="2"/>
        <scheme val="minor"/>
      </rPr>
      <t xml:space="preserve">a la vez. Si se quieren borrar </t>
    </r>
    <r>
      <rPr>
        <u/>
        <sz val="11"/>
        <color rgb="FF005877"/>
        <rFont val="Calibri"/>
        <family val="2"/>
        <scheme val="minor"/>
      </rPr>
      <t>varias líneas a la vez</t>
    </r>
    <r>
      <rPr>
        <sz val="11"/>
        <color rgb="FF005877"/>
        <rFont val="Calibri"/>
        <family val="2"/>
        <scheme val="minor"/>
      </rPr>
      <t xml:space="preserve">, hay que </t>
    </r>
    <r>
      <rPr>
        <u/>
        <sz val="11"/>
        <color rgb="FF005877"/>
        <rFont val="Calibri"/>
        <family val="2"/>
        <scheme val="minor"/>
      </rPr>
      <t xml:space="preserve">borrar el NOMBRE </t>
    </r>
    <r>
      <rPr>
        <sz val="11"/>
        <color rgb="FF005877"/>
        <rFont val="Calibri"/>
        <family val="2"/>
        <scheme val="minor"/>
      </rPr>
      <t>de las líneas que se quieren borrar.</t>
    </r>
  </si>
  <si>
    <t>Nombre</t>
  </si>
  <si>
    <r>
      <t>=</t>
    </r>
    <r>
      <rPr>
        <b/>
        <i/>
        <sz val="11"/>
        <color rgb="FFFF0000"/>
        <rFont val="Calibri"/>
        <family val="2"/>
        <scheme val="minor"/>
      </rPr>
      <t>'</t>
    </r>
    <r>
      <rPr>
        <b/>
        <i/>
        <sz val="11"/>
        <color rgb="FF005877"/>
        <rFont val="Calibri"/>
        <family val="2"/>
        <scheme val="minor"/>
      </rPr>
      <t>Nombre archivo.xlsm</t>
    </r>
    <r>
      <rPr>
        <b/>
        <i/>
        <sz val="11"/>
        <color rgb="FFFF0000"/>
        <rFont val="Calibri"/>
        <family val="2"/>
        <scheme val="minor"/>
      </rPr>
      <t>'!</t>
    </r>
    <r>
      <rPr>
        <b/>
        <i/>
        <sz val="11"/>
        <color rgb="FF005877"/>
        <rFont val="Calibri"/>
        <family val="2"/>
        <scheme val="minor"/>
      </rPr>
      <t>Nombre_Celda</t>
    </r>
  </si>
  <si>
    <t>Para este apartado, se da tolerancia de 1 mm, con un 85% de la puntuación.</t>
  </si>
  <si>
    <t>Para este apartado, se da tolerancia de 1, con un 85% de la puntuación.</t>
  </si>
  <si>
    <r>
      <t xml:space="preserve">Para usar estos datos con </t>
    </r>
    <r>
      <rPr>
        <b/>
        <sz val="11"/>
        <color theme="5"/>
        <rFont val="Calibri"/>
        <family val="2"/>
        <scheme val="minor"/>
      </rPr>
      <t>FastTest PlugIn</t>
    </r>
    <r>
      <rPr>
        <sz val="11"/>
        <color rgb="FF005877"/>
        <rFont val="Calibri"/>
        <family val="2"/>
        <scheme val="minor"/>
      </rPr>
      <t xml:space="preserve">, se debe escribir en el </t>
    </r>
    <r>
      <rPr>
        <b/>
        <sz val="11"/>
        <color rgb="FF005877"/>
        <rFont val="Calibri"/>
        <family val="2"/>
        <scheme val="minor"/>
      </rPr>
      <t xml:space="preserve">Enunciado, Imagen y Descripción de la Pregunta </t>
    </r>
    <r>
      <rPr>
        <sz val="11"/>
        <color rgb="FF005877"/>
        <rFont val="Calibri"/>
        <family val="2"/>
        <scheme val="minor"/>
      </rPr>
      <t xml:space="preserve">de las preguntas tipo </t>
    </r>
    <r>
      <rPr>
        <b/>
        <sz val="11"/>
        <color rgb="FF005877"/>
        <rFont val="Calibri"/>
        <family val="2"/>
        <scheme val="minor"/>
      </rPr>
      <t>CLOZE</t>
    </r>
    <r>
      <rPr>
        <sz val="11"/>
        <color rgb="FF005877"/>
        <rFont val="Calibri"/>
        <family val="2"/>
        <scheme val="minor"/>
      </rPr>
      <t xml:space="preserve">, el nombre del archivo (entre </t>
    </r>
    <r>
      <rPr>
        <b/>
        <i/>
        <sz val="11"/>
        <color rgb="FFFF0000"/>
        <rFont val="Calibri"/>
        <family val="2"/>
        <scheme val="minor"/>
      </rPr>
      <t>'  '!</t>
    </r>
    <r>
      <rPr>
        <sz val="11"/>
        <color rgb="FF005877"/>
        <rFont val="Calibri"/>
        <family val="2"/>
        <scheme val="minor"/>
      </rPr>
      <t xml:space="preserve">), seguido del nombre de la celda  </t>
    </r>
    <r>
      <rPr>
        <b/>
        <i/>
        <sz val="11"/>
        <color rgb="FF005877"/>
        <rFont val="Calibri"/>
        <family val="2"/>
        <scheme val="minor"/>
      </rPr>
      <t xml:space="preserve">Enunciado_Preguntas_FTP </t>
    </r>
    <r>
      <rPr>
        <i/>
        <sz val="11"/>
        <color rgb="FF005877"/>
        <rFont val="Calibri"/>
        <family val="2"/>
        <scheme val="minor"/>
      </rPr>
      <t xml:space="preserve">o </t>
    </r>
    <r>
      <rPr>
        <b/>
        <i/>
        <sz val="11"/>
        <color rgb="FF005877"/>
        <rFont val="Calibri"/>
        <family val="2"/>
        <scheme val="minor"/>
      </rPr>
      <t xml:space="preserve">Imagen_FTP </t>
    </r>
    <r>
      <rPr>
        <i/>
        <sz val="11"/>
        <color rgb="FF005877"/>
        <rFont val="Calibri"/>
        <family val="2"/>
        <scheme val="minor"/>
      </rPr>
      <t xml:space="preserve">o </t>
    </r>
    <r>
      <rPr>
        <b/>
        <i/>
        <sz val="11"/>
        <color rgb="FF005877"/>
        <rFont val="Calibri"/>
        <family val="2"/>
        <scheme val="minor"/>
      </rPr>
      <t>Descripcion_FTP</t>
    </r>
    <r>
      <rPr>
        <sz val="11"/>
        <color rgb="FF005877"/>
        <rFont val="Calibri"/>
        <family val="2"/>
        <scheme val="minor"/>
      </rPr>
      <t>:</t>
    </r>
  </si>
  <si>
    <t>DATOS FIJOS</t>
  </si>
  <si>
    <t>Descripción</t>
  </si>
  <si>
    <t>Enunciado y P1</t>
  </si>
  <si>
    <t>Enunciado y P1-2</t>
  </si>
  <si>
    <t>Enunciado y P1-3</t>
  </si>
  <si>
    <t>Enunciado y P1-4</t>
  </si>
  <si>
    <t>⇈   Fórmulas para FastTest PlugIn    ⇈</t>
  </si>
  <si>
    <r>
      <t xml:space="preserve">Si se quieren </t>
    </r>
    <r>
      <rPr>
        <b/>
        <u/>
        <sz val="11"/>
        <color rgb="FF005877"/>
        <rFont val="Calibri"/>
        <family val="2"/>
        <scheme val="minor"/>
      </rPr>
      <t>Exportar a FastTest PlugIn:</t>
    </r>
    <r>
      <rPr>
        <sz val="11"/>
        <color rgb="FF005877"/>
        <rFont val="Calibri"/>
        <family val="2"/>
        <scheme val="minor"/>
      </rPr>
      <t xml:space="preserve"> 
   1) Abrir la aplicación FastTest PlugIn. 
   2) Seleccionar el tipo de </t>
    </r>
    <r>
      <rPr>
        <b/>
        <sz val="11"/>
        <color rgb="FFFF0000"/>
        <rFont val="Calibri"/>
        <family val="2"/>
        <scheme val="minor"/>
      </rPr>
      <t xml:space="preserve">Salto de Línea </t>
    </r>
    <r>
      <rPr>
        <sz val="11"/>
        <color rgb="FF005877"/>
        <rFont val="Calibri"/>
        <family val="2"/>
        <scheme val="minor"/>
      </rPr>
      <t xml:space="preserve">que se quiere usar al exportar los problemas </t>
    </r>
    <r>
      <rPr>
        <b/>
        <sz val="11"/>
        <color rgb="FF005877"/>
        <rFont val="Calibri"/>
        <family val="2"/>
        <scheme val="minor"/>
      </rPr>
      <t>&lt;br&gt;</t>
    </r>
    <r>
      <rPr>
        <sz val="11"/>
        <color rgb="FF005877"/>
        <rFont val="Calibri"/>
        <family val="2"/>
        <scheme val="minor"/>
      </rPr>
      <t xml:space="preserve"> o </t>
    </r>
    <r>
      <rPr>
        <b/>
        <sz val="11"/>
        <color rgb="FF005877"/>
        <rFont val="Calibri"/>
        <family val="2"/>
        <scheme val="minor"/>
      </rPr>
      <t>&lt;p&gt;</t>
    </r>
    <r>
      <rPr>
        <sz val="11"/>
        <color rgb="FF005877"/>
        <rFont val="Calibri"/>
        <family val="2"/>
        <scheme val="minor"/>
      </rPr>
      <t xml:space="preserve">.
   3) En la aplicación </t>
    </r>
    <r>
      <rPr>
        <b/>
        <i/>
        <sz val="11"/>
        <color rgb="FF005877"/>
        <rFont val="Calibri"/>
        <family val="2"/>
        <scheme val="minor"/>
      </rPr>
      <t>FastTest PlugIn</t>
    </r>
    <r>
      <rPr>
        <sz val="11"/>
        <color rgb="FF005877"/>
        <rFont val="Calibri"/>
        <family val="2"/>
        <scheme val="minor"/>
      </rPr>
      <t xml:space="preserve">, en el Formulario </t>
    </r>
    <r>
      <rPr>
        <i/>
        <u/>
        <sz val="11"/>
        <color rgb="FF005877"/>
        <rFont val="Calibri"/>
        <family val="2"/>
        <scheme val="minor"/>
      </rPr>
      <t>CLOZE</t>
    </r>
    <r>
      <rPr>
        <sz val="11"/>
        <color rgb="FF005877"/>
        <rFont val="Calibri"/>
        <family val="2"/>
        <scheme val="minor"/>
      </rPr>
      <t>, escribir en la celda 
                                                      "='</t>
    </r>
    <r>
      <rPr>
        <b/>
        <sz val="11"/>
        <color rgb="FF005877"/>
        <rFont val="Calibri"/>
        <family val="2"/>
        <scheme val="minor"/>
      </rPr>
      <t>Nombre de este archivo.xlsm</t>
    </r>
    <r>
      <rPr>
        <sz val="11"/>
        <color rgb="FF005877"/>
        <rFont val="Calibri"/>
        <family val="2"/>
        <scheme val="minor"/>
      </rPr>
      <t>'!"+ 
     - Imagen:          "</t>
    </r>
    <r>
      <rPr>
        <b/>
        <sz val="11"/>
        <color rgb="FF005877"/>
        <rFont val="Calibri"/>
        <family val="2"/>
        <scheme val="minor"/>
      </rPr>
      <t>Imagen_FTP</t>
    </r>
    <r>
      <rPr>
        <sz val="11"/>
        <color rgb="FF005877"/>
        <rFont val="Calibri"/>
        <family val="2"/>
        <scheme val="minor"/>
      </rPr>
      <t>"                            (Nombre este archivo+Imagen_FTP)
     - Descripción:  "</t>
    </r>
    <r>
      <rPr>
        <b/>
        <sz val="11"/>
        <color rgb="FF005877"/>
        <rFont val="Calibri"/>
        <family val="2"/>
        <scheme val="minor"/>
      </rPr>
      <t>Descripcion_FTP</t>
    </r>
    <r>
      <rPr>
        <sz val="11"/>
        <color rgb="FF005877"/>
        <rFont val="Calibri"/>
        <family val="2"/>
        <scheme val="minor"/>
      </rPr>
      <t>"                     (Nombre este archivo+Descripcion_FTP) 
     - Enunciado:    "</t>
    </r>
    <r>
      <rPr>
        <b/>
        <sz val="11"/>
        <color rgb="FF005877"/>
        <rFont val="Calibri"/>
        <family val="2"/>
        <scheme val="minor"/>
      </rPr>
      <t>Enunciado_Preguntas_FTP</t>
    </r>
    <r>
      <rPr>
        <sz val="11"/>
        <color rgb="FF005877"/>
        <rFont val="Calibri"/>
        <family val="2"/>
        <scheme val="minor"/>
      </rPr>
      <t xml:space="preserve">"  (Nombre este archivo+Enunciado_Preguntas_FTP)   
   Si se quiere copiar el Link correcto, pulsar en los botones </t>
    </r>
    <r>
      <rPr>
        <b/>
        <sz val="11"/>
        <color theme="5"/>
        <rFont val="Calibri"/>
        <family val="2"/>
        <scheme val="minor"/>
      </rPr>
      <t xml:space="preserve">Imagen, Descripción, Enunciado y P1...     </t>
    </r>
    <r>
      <rPr>
        <sz val="11"/>
        <color rgb="FF005877"/>
        <rFont val="Calibri"/>
        <family val="2"/>
        <scheme val="minor"/>
      </rPr>
      <t xml:space="preserve">
   4) Según qué datos se quieren exportar:
   4.1) Seleccionar en </t>
    </r>
    <r>
      <rPr>
        <b/>
        <sz val="11"/>
        <color rgb="FFFF0000"/>
        <rFont val="Calibri"/>
        <family val="2"/>
        <scheme val="minor"/>
      </rPr>
      <t>DATOS FIJOS</t>
    </r>
    <r>
      <rPr>
        <sz val="11"/>
        <color rgb="FF005877"/>
        <rFont val="Calibri"/>
        <family val="2"/>
        <scheme val="minor"/>
      </rPr>
      <t xml:space="preserve">: </t>
    </r>
    <r>
      <rPr>
        <b/>
        <sz val="11"/>
        <color rgb="FF005877"/>
        <rFont val="Calibri"/>
        <family val="2"/>
        <scheme val="minor"/>
      </rPr>
      <t xml:space="preserve">Sí
</t>
    </r>
    <r>
      <rPr>
        <sz val="11"/>
        <color rgb="FF005877"/>
        <rFont val="Calibri"/>
        <family val="2"/>
        <scheme val="minor"/>
      </rPr>
      <t xml:space="preserve">     - </t>
    </r>
    <r>
      <rPr>
        <u/>
        <sz val="11"/>
        <color rgb="FF005877"/>
        <rFont val="Calibri"/>
        <family val="2"/>
        <scheme val="minor"/>
      </rPr>
      <t xml:space="preserve">Actualizar </t>
    </r>
    <r>
      <rPr>
        <sz val="11"/>
        <color rgb="FF005877"/>
        <rFont val="Calibri"/>
        <family val="2"/>
        <scheme val="minor"/>
      </rPr>
      <t xml:space="preserve">el </t>
    </r>
    <r>
      <rPr>
        <b/>
        <sz val="11"/>
        <color rgb="FF005877"/>
        <rFont val="Calibri"/>
        <family val="2"/>
        <scheme val="minor"/>
      </rPr>
      <t xml:space="preserve">Nombre del Archivo </t>
    </r>
    <r>
      <rPr>
        <sz val="11"/>
        <color rgb="FF005877"/>
        <rFont val="Calibri"/>
        <family val="2"/>
        <scheme val="minor"/>
      </rPr>
      <t xml:space="preserve">de la aplicación, sin la extensión (por defecto </t>
    </r>
    <r>
      <rPr>
        <b/>
        <i/>
        <sz val="11"/>
        <color rgb="FFFF0000"/>
        <rFont val="Calibri"/>
        <family val="2"/>
        <scheme val="minor"/>
      </rPr>
      <t>FastTest PlugIn</t>
    </r>
    <r>
      <rPr>
        <sz val="11"/>
        <color rgb="FF005877"/>
        <rFont val="Calibri"/>
        <family val="2"/>
        <scheme val="minor"/>
      </rPr>
      <t xml:space="preserve">).
     - </t>
    </r>
    <r>
      <rPr>
        <u/>
        <sz val="11"/>
        <color rgb="FF005877"/>
        <rFont val="Calibri"/>
        <family val="2"/>
        <scheme val="minor"/>
      </rPr>
      <t xml:space="preserve">Datos almacenados en la tabla </t>
    </r>
    <r>
      <rPr>
        <b/>
        <u/>
        <sz val="11"/>
        <color rgb="FF005877"/>
        <rFont val="Calibri"/>
        <family val="2"/>
        <scheme val="minor"/>
      </rPr>
      <t>DATOS FIJOS</t>
    </r>
    <r>
      <rPr>
        <sz val="11"/>
        <color rgb="FF005877"/>
        <rFont val="Calibri"/>
        <family val="2"/>
        <scheme val="minor"/>
      </rPr>
      <t xml:space="preserve">: hay que escribir en </t>
    </r>
    <r>
      <rPr>
        <b/>
        <sz val="11"/>
        <color rgb="FFFF0000"/>
        <rFont val="Calibri"/>
        <family val="2"/>
        <scheme val="minor"/>
      </rPr>
      <t>Lista Datos Fijos</t>
    </r>
    <r>
      <rPr>
        <sz val="11"/>
        <color rgb="FF005877"/>
        <rFont val="Calibri"/>
        <family val="2"/>
        <scheme val="minor"/>
      </rPr>
      <t>: "</t>
    </r>
    <r>
      <rPr>
        <i/>
        <sz val="11"/>
        <color rgb="FF005877"/>
        <rFont val="Calibri"/>
        <family val="2"/>
        <scheme val="minor"/>
      </rPr>
      <t>=Dato_FTP</t>
    </r>
    <r>
      <rPr>
        <sz val="11"/>
        <color rgb="FF005877"/>
        <rFont val="Calibri"/>
        <family val="2"/>
        <scheme val="minor"/>
      </rPr>
      <t xml:space="preserve">" y escribir en </t>
    </r>
    <r>
      <rPr>
        <b/>
        <sz val="11"/>
        <color rgb="FF005877"/>
        <rFont val="Calibri"/>
        <family val="2"/>
        <scheme val="minor"/>
      </rPr>
      <t>N_Preg_FTP_Inicial</t>
    </r>
    <r>
      <rPr>
        <sz val="11"/>
        <color rgb="FF005877"/>
        <rFont val="Calibri"/>
        <family val="2"/>
        <scheme val="minor"/>
      </rPr>
      <t xml:space="preserve"> el número de la pregunta inicial que hay en FTP (valor constante, para exportar el primero poner el valor que se muestra en la celda de la derecha). Si se quieren exportar a partir de un Dato Determinado de la tabla, escirbirlo en el número </t>
    </r>
    <r>
      <rPr>
        <b/>
        <sz val="11"/>
        <color rgb="FFFF0000"/>
        <rFont val="Calibri"/>
        <family val="2"/>
        <scheme val="minor"/>
      </rPr>
      <t>Nº Inicial a Exportar de DATOS FIJOS</t>
    </r>
    <r>
      <rPr>
        <sz val="11"/>
        <color rgb="FF005877"/>
        <rFont val="Calibri"/>
        <family val="2"/>
        <scheme val="minor"/>
      </rPr>
      <t xml:space="preserve">. 
   4.2) Seleccionar en </t>
    </r>
    <r>
      <rPr>
        <b/>
        <sz val="11"/>
        <color rgb="FFFF0000"/>
        <rFont val="Calibri"/>
        <family val="2"/>
        <scheme val="minor"/>
      </rPr>
      <t>DATOS FIJOS</t>
    </r>
    <r>
      <rPr>
        <b/>
        <sz val="11"/>
        <color rgb="FF005877"/>
        <rFont val="Calibri"/>
        <family val="2"/>
        <scheme val="minor"/>
      </rPr>
      <t>: No</t>
    </r>
    <r>
      <rPr>
        <sz val="11"/>
        <color rgb="FF005877"/>
        <rFont val="Calibri"/>
        <family val="2"/>
        <scheme val="minor"/>
      </rPr>
      <t xml:space="preserve">
    5) En la aplicación </t>
    </r>
    <r>
      <rPr>
        <b/>
        <i/>
        <sz val="11"/>
        <color rgb="FF005877"/>
        <rFont val="Calibri"/>
        <family val="2"/>
        <scheme val="minor"/>
      </rPr>
      <t>FastTest PlugIn</t>
    </r>
    <r>
      <rPr>
        <sz val="11"/>
        <color rgb="FF005877"/>
        <rFont val="Calibri"/>
        <family val="2"/>
        <scheme val="minor"/>
      </rPr>
      <t xml:space="preserve">, guardar tantas preguntas como problemas se quieran generar para Moodle. Para Datos Fijos, el número máximo es el máximo que se tengan en la tabla </t>
    </r>
    <r>
      <rPr>
        <b/>
        <sz val="11"/>
        <color rgb="FF005877"/>
        <rFont val="Calibri"/>
        <family val="2"/>
        <scheme val="minor"/>
      </rPr>
      <t>DATOS FIJOS</t>
    </r>
    <r>
      <rPr>
        <sz val="11"/>
        <color rgb="FF005877"/>
        <rFont val="Calibri"/>
        <family val="2"/>
        <scheme val="minor"/>
      </rPr>
      <t xml:space="preserve">.
    6) En la hoja </t>
    </r>
    <r>
      <rPr>
        <b/>
        <sz val="11"/>
        <color rgb="FF005877"/>
        <rFont val="Calibri"/>
        <family val="2"/>
        <scheme val="minor"/>
      </rPr>
      <t xml:space="preserve">RESULTADOS - FTP </t>
    </r>
    <r>
      <rPr>
        <sz val="11"/>
        <color rgb="FF005877"/>
        <rFont val="Calibri"/>
        <family val="2"/>
        <scheme val="minor"/>
      </rPr>
      <t xml:space="preserve">indicar las tolerancias y puntuaciones que se quieren dar a cada apartado. Si se quieren puntuar negativamente las respuestas numéricas incorrectas, indicar un valor muy grande en la tolerancia. </t>
    </r>
  </si>
  <si>
    <r>
      <t xml:space="preserve">PARA COPIAR LAS FÓRMULAS IR A LA HOJA </t>
    </r>
    <r>
      <rPr>
        <b/>
        <i/>
        <sz val="11"/>
        <color rgb="FF005877"/>
        <rFont val="Calibri"/>
        <family val="2"/>
        <scheme val="minor"/>
      </rPr>
      <t>PROBLEMA</t>
    </r>
    <r>
      <rPr>
        <b/>
        <i/>
        <sz val="11"/>
        <color rgb="FFFF0000"/>
        <rFont val="Calibri"/>
        <family val="2"/>
        <scheme val="minor"/>
      </rPr>
      <t xml:space="preserve"> Y 
PINCHAR EN EL BOTÓN DE LA FÓRMULA CORRESPONDIENTE: </t>
    </r>
    <r>
      <rPr>
        <b/>
        <i/>
        <sz val="11"/>
        <color theme="5"/>
        <rFont val="Calibri"/>
        <family val="2"/>
        <scheme val="minor"/>
      </rPr>
      <t>Imagen, Descripción, Enunciado P1...</t>
    </r>
  </si>
  <si>
    <t>PANDEO</t>
  </si>
  <si>
    <t>Diametro mínimo, sin redondear</t>
  </si>
  <si>
    <t>Depende de la seccion circular o cuadrada</t>
  </si>
  <si>
    <t>λ def por esbeltez</t>
  </si>
  <si>
    <t>Tensión máx 
d min esbeltez</t>
  </si>
  <si>
    <t>Área 
d min esbeltez</t>
  </si>
  <si>
    <t>mm²</t>
  </si>
  <si>
    <t>Enunciado con Tensiones en Barras y Pandeo</t>
  </si>
  <si>
    <t>Cerchas  - 4m-30°60mm-redondo macizoBCC S235-3</t>
  </si>
  <si>
    <t>Cerchas  - 5m-45°50mm-redondo macizoDCD S355-4</t>
  </si>
  <si>
    <t>Cerchas  - 3m-60°80mm-cuadradoCEC S235-3</t>
  </si>
  <si>
    <t>Cerchas  - 1m-60°20mm-redondo macizoDBD S355-3</t>
  </si>
  <si>
    <t>Sin esbeltez</t>
  </si>
  <si>
    <t>Sexto Tanteo</t>
  </si>
  <si>
    <t>1er tanteo</t>
  </si>
  <si>
    <t>2º tanteo</t>
  </si>
  <si>
    <t>3er tanteo</t>
  </si>
  <si>
    <t>4º tanteo</t>
  </si>
  <si>
    <t>5º tanteo</t>
  </si>
  <si>
    <t>6º tanteo</t>
  </si>
  <si>
    <t>𝜎 máx</t>
  </si>
  <si>
    <t>MPa</t>
  </si>
  <si>
    <t>V1.6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</si>
</sst>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5">
    <numFmt numFmtId="164" formatCode="#\ &quot;cm&quot;"/>
    <numFmt numFmtId="165" formatCode="@&quot; =&quot;"/>
    <numFmt numFmtId="166" formatCode="#,###\ &quot;m⁴&quot;"/>
    <numFmt numFmtId="167" formatCode="#,###\ &quot;m³&quot;"/>
    <numFmt numFmtId="168" formatCode="#,###\ &quot;m²&quot;"/>
    <numFmt numFmtId="169" formatCode="0.0"/>
    <numFmt numFmtId="170" formatCode="&quot;S&quot;###"/>
    <numFmt numFmtId="171" formatCode="0.00\ &quot;kN&quot;"/>
    <numFmt numFmtId="172" formatCode="0.00\ &quot;m&quot;"/>
    <numFmt numFmtId="173" formatCode="0\ &quot;º&quot;"/>
    <numFmt numFmtId="174" formatCode="0.000\ &quot;rad&quot;"/>
    <numFmt numFmtId="175" formatCode="#\ &quot;m&quot;"/>
    <numFmt numFmtId="176" formatCode="#\ &quot;mm&quot;"/>
    <numFmt numFmtId="177" formatCode="#,##0.0"/>
    <numFmt numFmtId="178" formatCode="0.00\ &quot;º&quot;"/>
    <numFmt numFmtId="179" formatCode="#,###\ &quot;mm²&quot;"/>
    <numFmt numFmtId="180" formatCode="#,###,###\ &quot;N&quot;"/>
    <numFmt numFmtId="181" formatCode="#,###,###\ &quot;mm&quot;"/>
    <numFmt numFmtId="182" formatCode="#,###.00\ &quot;kN&quot;"/>
    <numFmt numFmtId="183" formatCode="&quot;=&quot;\ #,###\ &quot;MPa&quot;"/>
    <numFmt numFmtId="184" formatCode="#,###\ &quot;mm⁴&quot;"/>
    <numFmt numFmtId="185" formatCode="#,###\ &quot;mm&quot;"/>
    <numFmt numFmtId="186" formatCode="&quot;S&quot;000"/>
    <numFmt numFmtId="187" formatCode="0\ &quot;kN&quot;"/>
    <numFmt numFmtId="188" formatCode="###\ &quot;MPa =&quot;"/>
    <numFmt numFmtId="189" formatCode="&quot;=&quot;\ #,###\ "/>
    <numFmt numFmtId="190" formatCode="#,###.0\ &quot;mm&quot;"/>
    <numFmt numFmtId="191" formatCode="&quot;=&quot;\ #,###.0\ "/>
    <numFmt numFmtId="192" formatCode="&quot;· &quot;0.00"/>
    <numFmt numFmtId="193" formatCode="#,##0.00\ &quot;kN&quot;"/>
    <numFmt numFmtId="194" formatCode="&quot;=&quot;\ #,###.0\ &quot;MPa&quot;"/>
    <numFmt numFmtId="195" formatCode="&quot;N. problemas FTP:  &quot;\ 0"/>
    <numFmt numFmtId="196" formatCode="&quot;=&quot;\ #,###.00\ &quot;mm&quot;"/>
    <numFmt numFmtId="197" formatCode="0.000\ &quot;m&quot;"/>
    <numFmt numFmtId="198" formatCode="0\ &quot;MPa&quot;"/>
  </numFmts>
  <fonts count="62" x14ac:knownFonts="1">
    <font>
      <sz val="11"/>
      <color theme="1"/>
      <name val="Calibri"/>
      <family val="2"/>
      <scheme val="minor"/>
    </font>
    <font>
      <b/>
      <sz val="11"/>
      <color theme="1"/>
      <name val="Calibri"/>
      <family val="2"/>
      <scheme val="minor"/>
    </font>
    <font>
      <u/>
      <sz val="11"/>
      <color theme="1"/>
      <name val="Calibri"/>
      <family val="2"/>
      <scheme val="minor"/>
    </font>
    <font>
      <b/>
      <sz val="11"/>
      <color rgb="FFFF0000"/>
      <name val="Calibri"/>
      <family val="2"/>
      <scheme val="minor"/>
    </font>
    <font>
      <b/>
      <sz val="11"/>
      <color theme="0"/>
      <name val="Calibri"/>
      <family val="2"/>
      <scheme val="minor"/>
    </font>
    <font>
      <b/>
      <sz val="9"/>
      <color theme="0"/>
      <name val="Calibri"/>
      <family val="2"/>
      <scheme val="minor"/>
    </font>
    <font>
      <i/>
      <sz val="11"/>
      <color theme="1"/>
      <name val="Calibri"/>
      <family val="2"/>
      <scheme val="minor"/>
    </font>
    <font>
      <sz val="11"/>
      <color theme="1"/>
      <name val="Courier New"/>
      <family val="3"/>
    </font>
    <font>
      <sz val="10"/>
      <name val="Arial"/>
      <family val="2"/>
    </font>
    <font>
      <sz val="11"/>
      <name val="Calibri"/>
      <family val="2"/>
      <scheme val="minor"/>
    </font>
    <font>
      <b/>
      <sz val="11"/>
      <color theme="4" tint="-0.249977111117893"/>
      <name val="Calibri"/>
      <family val="2"/>
      <scheme val="minor"/>
    </font>
    <font>
      <b/>
      <sz val="11"/>
      <color rgb="FF005877"/>
      <name val="Calibri"/>
      <family val="2"/>
      <scheme val="minor"/>
    </font>
    <font>
      <sz val="11"/>
      <color rgb="FF005877"/>
      <name val="Calibri"/>
      <family val="2"/>
      <scheme val="minor"/>
    </font>
    <font>
      <u/>
      <sz val="11"/>
      <color theme="10"/>
      <name val="Calibri"/>
      <family val="2"/>
      <scheme val="minor"/>
    </font>
    <font>
      <b/>
      <i/>
      <sz val="11"/>
      <color theme="1"/>
      <name val="Calibri"/>
      <family val="2"/>
      <scheme val="minor"/>
    </font>
    <font>
      <sz val="18"/>
      <color theme="1"/>
      <name val="Symbol"/>
      <family val="1"/>
      <charset val="2"/>
    </font>
    <font>
      <vertAlign val="subscript"/>
      <sz val="18"/>
      <color theme="1"/>
      <name val="Calibri"/>
      <family val="2"/>
      <scheme val="minor"/>
    </font>
    <font>
      <sz val="8"/>
      <color theme="1"/>
      <name val="Symbol"/>
      <family val="1"/>
      <charset val="2"/>
    </font>
    <font>
      <sz val="8"/>
      <color theme="1"/>
      <name val="Arial"/>
      <family val="2"/>
    </font>
    <font>
      <sz val="8"/>
      <color theme="1"/>
      <name val="Calibri"/>
      <family val="2"/>
      <scheme val="minor"/>
    </font>
    <font>
      <sz val="12"/>
      <color theme="1"/>
      <name val="Symbol"/>
      <family val="1"/>
      <charset val="2"/>
    </font>
    <font>
      <sz val="9"/>
      <color theme="1"/>
      <name val="Calibri"/>
      <family val="2"/>
      <scheme val="minor"/>
    </font>
    <font>
      <b/>
      <sz val="8"/>
      <color theme="1"/>
      <name val="Calibri"/>
      <family val="2"/>
      <scheme val="minor"/>
    </font>
    <font>
      <sz val="11"/>
      <color theme="1"/>
      <name val="Symbol"/>
      <family val="1"/>
      <charset val="2"/>
    </font>
    <font>
      <vertAlign val="subscript"/>
      <sz val="11"/>
      <color theme="1"/>
      <name val="Calibri"/>
      <family val="2"/>
      <scheme val="minor"/>
    </font>
    <font>
      <b/>
      <sz val="9"/>
      <name val="Calibri"/>
      <family val="2"/>
      <scheme val="minor"/>
    </font>
    <font>
      <b/>
      <sz val="8"/>
      <color rgb="FFFF0000"/>
      <name val="Calibri"/>
      <family val="2"/>
      <scheme val="minor"/>
    </font>
    <font>
      <sz val="8"/>
      <name val="Calibri"/>
      <family val="2"/>
      <scheme val="minor"/>
    </font>
    <font>
      <b/>
      <vertAlign val="subscript"/>
      <sz val="11"/>
      <color theme="1"/>
      <name val="Calibri"/>
      <family val="2"/>
      <scheme val="minor"/>
    </font>
    <font>
      <i/>
      <vertAlign val="subscript"/>
      <sz val="11"/>
      <color theme="1"/>
      <name val="Calibri"/>
      <family val="2"/>
      <scheme val="minor"/>
    </font>
    <font>
      <i/>
      <sz val="10"/>
      <color theme="1"/>
      <name val="Calibri"/>
      <family val="2"/>
      <scheme val="minor"/>
    </font>
    <font>
      <b/>
      <sz val="14"/>
      <color theme="1"/>
      <name val="Calibri"/>
      <family val="2"/>
      <scheme val="minor"/>
    </font>
    <font>
      <b/>
      <vertAlign val="subscript"/>
      <sz val="14"/>
      <color theme="1"/>
      <name val="Calibri"/>
      <family val="2"/>
      <scheme val="minor"/>
    </font>
    <font>
      <sz val="11"/>
      <color theme="1"/>
      <name val="Calibri"/>
      <family val="2"/>
      <scheme val="minor"/>
    </font>
    <font>
      <sz val="11"/>
      <color theme="1"/>
      <name val="Calibri"/>
      <family val="2"/>
    </font>
    <font>
      <b/>
      <strike/>
      <sz val="11"/>
      <color rgb="FFFF0000"/>
      <name val="Calibri"/>
      <family val="2"/>
      <scheme val="minor"/>
    </font>
    <font>
      <b/>
      <sz val="11"/>
      <color theme="4" tint="-0.249977111117893"/>
      <name val="Calibri"/>
      <family val="2"/>
      <scheme val="minor"/>
    </font>
    <font>
      <b/>
      <u/>
      <sz val="11"/>
      <color theme="0"/>
      <name val="Calibri"/>
      <family val="2"/>
      <scheme val="minor"/>
    </font>
    <font>
      <i/>
      <sz val="11"/>
      <color rgb="FF005877"/>
      <name val="Calibri"/>
      <family val="2"/>
      <scheme val="minor"/>
    </font>
    <font>
      <b/>
      <i/>
      <sz val="11"/>
      <color rgb="FFE87B00"/>
      <name val="Calibri"/>
      <family val="2"/>
      <scheme val="minor"/>
    </font>
    <font>
      <b/>
      <sz val="11"/>
      <color rgb="FFE87B00"/>
      <name val="Calibri"/>
      <family val="2"/>
      <scheme val="minor"/>
    </font>
    <font>
      <b/>
      <sz val="9"/>
      <color indexed="81"/>
      <name val="Tahoma"/>
      <family val="2"/>
    </font>
    <font>
      <b/>
      <sz val="16"/>
      <color rgb="FF005877"/>
      <name val="Calibri"/>
      <family val="2"/>
      <scheme val="minor"/>
    </font>
    <font>
      <b/>
      <sz val="11"/>
      <color theme="5"/>
      <name val="Calibri"/>
      <family val="2"/>
      <scheme val="minor"/>
    </font>
    <font>
      <b/>
      <sz val="11"/>
      <color rgb="FF00B0F0"/>
      <name val="Calibri"/>
      <family val="2"/>
      <scheme val="minor"/>
    </font>
    <font>
      <sz val="11"/>
      <color theme="0"/>
      <name val="Calibri"/>
      <family val="2"/>
      <scheme val="minor"/>
    </font>
    <font>
      <b/>
      <sz val="14"/>
      <color theme="0"/>
      <name val="Calibri"/>
      <family val="2"/>
      <scheme val="minor"/>
    </font>
    <font>
      <b/>
      <i/>
      <sz val="11"/>
      <color rgb="FFFF0000"/>
      <name val="Calibri"/>
      <family val="2"/>
      <scheme val="minor"/>
    </font>
    <font>
      <b/>
      <i/>
      <sz val="11"/>
      <color rgb="FF005877"/>
      <name val="Calibri"/>
      <family val="2"/>
      <scheme val="minor"/>
    </font>
    <font>
      <b/>
      <u/>
      <sz val="14"/>
      <color theme="5"/>
      <name val="Calibri"/>
      <family val="2"/>
      <scheme val="minor"/>
    </font>
    <font>
      <b/>
      <sz val="16"/>
      <color theme="0"/>
      <name val="Calibri"/>
      <family val="2"/>
      <scheme val="minor"/>
    </font>
    <font>
      <b/>
      <sz val="18"/>
      <color rgb="FF005877"/>
      <name val="Calibri"/>
      <family val="2"/>
      <scheme val="minor"/>
    </font>
    <font>
      <b/>
      <sz val="12"/>
      <color theme="1"/>
      <name val="Calibri"/>
      <family val="2"/>
      <scheme val="minor"/>
    </font>
    <font>
      <u/>
      <sz val="11"/>
      <color rgb="FF005877"/>
      <name val="Calibri"/>
      <family val="2"/>
      <scheme val="minor"/>
    </font>
    <font>
      <b/>
      <sz val="16"/>
      <color rgb="FFFF0000"/>
      <name val="Calibri"/>
      <family val="2"/>
      <scheme val="minor"/>
    </font>
    <font>
      <b/>
      <sz val="10"/>
      <color rgb="FFFF0000"/>
      <name val="Calibri"/>
      <family val="2"/>
      <scheme val="minor"/>
    </font>
    <font>
      <b/>
      <sz val="12"/>
      <color theme="0"/>
      <name val="Calibri"/>
      <family val="2"/>
      <scheme val="minor"/>
    </font>
    <font>
      <b/>
      <u/>
      <sz val="11"/>
      <color rgb="FF005877"/>
      <name val="Calibri"/>
      <family val="2"/>
      <scheme val="minor"/>
    </font>
    <font>
      <i/>
      <u/>
      <sz val="11"/>
      <color rgb="FF005877"/>
      <name val="Calibri"/>
      <family val="2"/>
      <scheme val="minor"/>
    </font>
    <font>
      <b/>
      <i/>
      <sz val="11"/>
      <color theme="5"/>
      <name val="Calibri"/>
      <family val="2"/>
      <scheme val="minor"/>
    </font>
    <font>
      <sz val="10"/>
      <color theme="1"/>
      <name val="Calibri"/>
      <family val="2"/>
      <scheme val="minor"/>
    </font>
    <font>
      <sz val="11"/>
      <color theme="1"/>
      <name val="Calibri"/>
      <family val="2"/>
      <scheme val="minor"/>
    </font>
  </fonts>
  <fills count="14">
    <fill>
      <patternFill patternType="none"/>
    </fill>
    <fill>
      <patternFill patternType="gray125"/>
    </fill>
    <fill>
      <patternFill patternType="solid">
        <fgColor theme="7" tint="0.79998168889431442"/>
        <bgColor indexed="64"/>
      </patternFill>
    </fill>
    <fill>
      <patternFill patternType="solid">
        <fgColor rgb="FFFFFF00"/>
        <bgColor indexed="64"/>
      </patternFill>
    </fill>
    <fill>
      <patternFill patternType="solid">
        <fgColor theme="4"/>
        <bgColor theme="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theme="4" tint="0.79998168889431442"/>
      </patternFill>
    </fill>
    <fill>
      <patternFill patternType="solid">
        <fgColor theme="2"/>
        <bgColor indexed="64"/>
      </patternFill>
    </fill>
    <fill>
      <patternFill patternType="solid">
        <fgColor rgb="FFE87B00"/>
        <bgColor indexed="64"/>
      </patternFill>
    </fill>
    <fill>
      <patternFill patternType="solid">
        <fgColor rgb="FF005877"/>
        <bgColor indexed="64"/>
      </patternFill>
    </fill>
    <fill>
      <patternFill patternType="solid">
        <fgColor theme="5"/>
        <bgColor indexed="64"/>
      </patternFill>
    </fill>
  </fills>
  <borders count="77">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style="thin">
        <color indexed="64"/>
      </left>
      <right style="thin">
        <color indexed="64"/>
      </right>
      <top/>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style="medium">
        <color indexed="64"/>
      </right>
      <top/>
      <bottom/>
      <diagonal/>
    </border>
    <border>
      <left/>
      <right/>
      <top style="medium">
        <color indexed="64"/>
      </top>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theme="4" tint="0.39997558519241921"/>
      </left>
      <right/>
      <top style="thin">
        <color theme="4" tint="0.39997558519241921"/>
      </top>
      <bottom/>
      <diagonal/>
    </border>
    <border>
      <left style="thick">
        <color rgb="FF005877"/>
      </left>
      <right/>
      <top style="thick">
        <color rgb="FF005877"/>
      </top>
      <bottom/>
      <diagonal/>
    </border>
    <border>
      <left/>
      <right/>
      <top style="thick">
        <color rgb="FF005877"/>
      </top>
      <bottom/>
      <diagonal/>
    </border>
    <border>
      <left style="thick">
        <color rgb="FF005877"/>
      </left>
      <right/>
      <top/>
      <bottom/>
      <diagonal/>
    </border>
    <border>
      <left style="thick">
        <color rgb="FF005877"/>
      </left>
      <right/>
      <top/>
      <bottom style="thick">
        <color rgb="FF005877"/>
      </bottom>
      <diagonal/>
    </border>
    <border>
      <left style="thick">
        <color rgb="FF005877"/>
      </left>
      <right style="thick">
        <color rgb="FF005877"/>
      </right>
      <top style="thick">
        <color rgb="FF005877"/>
      </top>
      <bottom style="thick">
        <color rgb="FF005877"/>
      </bottom>
      <diagonal/>
    </border>
    <border>
      <left/>
      <right/>
      <top/>
      <bottom style="thick">
        <color rgb="FF005877"/>
      </bottom>
      <diagonal/>
    </border>
    <border>
      <left/>
      <right style="medium">
        <color rgb="FF005877"/>
      </right>
      <top style="medium">
        <color rgb="FF005877"/>
      </top>
      <bottom/>
      <diagonal/>
    </border>
    <border>
      <left/>
      <right style="medium">
        <color rgb="FF005877"/>
      </right>
      <top/>
      <bottom/>
      <diagonal/>
    </border>
    <border>
      <left/>
      <right style="medium">
        <color rgb="FF005877"/>
      </right>
      <top/>
      <bottom style="thick">
        <color rgb="FF005877"/>
      </bottom>
      <diagonal/>
    </border>
    <border>
      <left/>
      <right style="medium">
        <color rgb="FF005877"/>
      </right>
      <top style="thick">
        <color rgb="FF005877"/>
      </top>
      <bottom/>
      <diagonal/>
    </border>
    <border>
      <left/>
      <right style="medium">
        <color rgb="FF005877"/>
      </right>
      <top/>
      <bottom style="medium">
        <color rgb="FF005877"/>
      </bottom>
      <diagonal/>
    </border>
    <border>
      <left/>
      <right style="thick">
        <color rgb="FF005877"/>
      </right>
      <top style="thick">
        <color rgb="FF005877"/>
      </top>
      <bottom/>
      <diagonal/>
    </border>
    <border>
      <left/>
      <right style="thick">
        <color rgb="FF005877"/>
      </right>
      <top/>
      <bottom/>
      <diagonal/>
    </border>
    <border>
      <left/>
      <right style="thick">
        <color rgb="FF005877"/>
      </right>
      <top/>
      <bottom style="thick">
        <color rgb="FF005877"/>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right style="thick">
        <color theme="0"/>
      </right>
      <top style="thick">
        <color theme="0"/>
      </top>
      <bottom style="thick">
        <color theme="0"/>
      </bottom>
      <diagonal/>
    </border>
    <border>
      <left style="thick">
        <color theme="0"/>
      </left>
      <right/>
      <top/>
      <bottom/>
      <diagonal/>
    </border>
    <border>
      <left/>
      <right/>
      <top style="thick">
        <color theme="0"/>
      </top>
      <bottom style="thick">
        <color theme="0"/>
      </bottom>
      <diagonal/>
    </border>
    <border>
      <left style="medium">
        <color theme="0"/>
      </left>
      <right/>
      <top style="medium">
        <color theme="0"/>
      </top>
      <bottom style="medium">
        <color theme="0"/>
      </bottom>
      <diagonal/>
    </border>
    <border>
      <left/>
      <right/>
      <top style="medium">
        <color theme="0"/>
      </top>
      <bottom style="medium">
        <color theme="0"/>
      </bottom>
      <diagonal/>
    </border>
    <border>
      <left/>
      <right style="medium">
        <color theme="0"/>
      </right>
      <top style="medium">
        <color theme="0"/>
      </top>
      <bottom style="medium">
        <color theme="0"/>
      </bottom>
      <diagonal/>
    </border>
    <border>
      <left/>
      <right/>
      <top style="thick">
        <color theme="0"/>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8" fillId="0" borderId="0"/>
    <xf numFmtId="0" fontId="13" fillId="0" borderId="0" applyNumberFormat="0" applyFill="0" applyBorder="0" applyAlignment="0" applyProtection="0"/>
    <xf numFmtId="9" fontId="33" fillId="0" borderId="0" applyFont="0" applyFill="0" applyBorder="0" applyAlignment="0" applyProtection="0"/>
  </cellStyleXfs>
  <cellXfs count="447">
    <xf numFmtId="0" fontId="0" fillId="0" borderId="0" xfId="0"/>
    <xf numFmtId="0" fontId="2" fillId="0" borderId="0" xfId="0" applyFont="1"/>
    <xf numFmtId="0" fontId="4" fillId="4" borderId="1" xfId="0" applyFont="1" applyFill="1" applyBorder="1" applyAlignment="1">
      <alignment horizontal="center"/>
    </xf>
    <xf numFmtId="0" fontId="5" fillId="4" borderId="2" xfId="0" applyFont="1" applyFill="1" applyBorder="1" applyAlignment="1">
      <alignment horizontal="center" vertical="center"/>
    </xf>
    <xf numFmtId="0" fontId="5" fillId="4" borderId="3" xfId="0" applyFont="1" applyFill="1" applyBorder="1" applyAlignment="1">
      <alignment horizontal="center" vertical="center"/>
    </xf>
    <xf numFmtId="0" fontId="0" fillId="0" borderId="0" xfId="0" applyAlignment="1">
      <alignment horizontal="center" vertical="center"/>
    </xf>
    <xf numFmtId="165" fontId="0" fillId="0" borderId="0" xfId="0" applyNumberFormat="1" applyAlignment="1">
      <alignment horizontal="right" indent="1"/>
    </xf>
    <xf numFmtId="0" fontId="1" fillId="0" borderId="0" xfId="0" applyFont="1"/>
    <xf numFmtId="0" fontId="0" fillId="0" borderId="9" xfId="0" applyBorder="1"/>
    <xf numFmtId="0" fontId="0" fillId="0" borderId="12" xfId="0" applyBorder="1"/>
    <xf numFmtId="0" fontId="10" fillId="7" borderId="16" xfId="0" applyFont="1" applyFill="1" applyBorder="1" applyAlignment="1">
      <alignment horizontal="center" vertical="center"/>
    </xf>
    <xf numFmtId="0" fontId="10" fillId="3" borderId="19" xfId="0" applyFont="1" applyFill="1" applyBorder="1" applyAlignment="1">
      <alignment horizontal="center" vertical="center" shrinkToFit="1"/>
    </xf>
    <xf numFmtId="0" fontId="1" fillId="0" borderId="1" xfId="0" applyFont="1" applyBorder="1" applyAlignment="1">
      <alignment horizontal="center" vertical="center"/>
    </xf>
    <xf numFmtId="0" fontId="0" fillId="0" borderId="21" xfId="0" applyBorder="1"/>
    <xf numFmtId="0" fontId="0" fillId="0" borderId="22" xfId="0" applyBorder="1"/>
    <xf numFmtId="0" fontId="0" fillId="0" borderId="20" xfId="0" applyBorder="1"/>
    <xf numFmtId="0" fontId="0" fillId="0" borderId="25" xfId="0" applyBorder="1"/>
    <xf numFmtId="0" fontId="1" fillId="0" borderId="21" xfId="0" applyFont="1" applyBorder="1"/>
    <xf numFmtId="0" fontId="0" fillId="0" borderId="26" xfId="0" applyBorder="1"/>
    <xf numFmtId="0" fontId="0" fillId="0" borderId="24" xfId="0" applyBorder="1"/>
    <xf numFmtId="0" fontId="0" fillId="0" borderId="27" xfId="0" applyBorder="1"/>
    <xf numFmtId="0" fontId="0" fillId="0" borderId="23" xfId="0" applyBorder="1"/>
    <xf numFmtId="0" fontId="0" fillId="0" borderId="18" xfId="0" applyBorder="1"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10" fillId="6" borderId="5" xfId="0" applyFont="1" applyFill="1" applyBorder="1" applyAlignment="1">
      <alignment horizontal="center" vertical="center" shrinkToFit="1"/>
    </xf>
    <xf numFmtId="0" fontId="0" fillId="0" borderId="0" xfId="0" applyAlignment="1">
      <alignment horizontal="center" shrinkToFit="1"/>
    </xf>
    <xf numFmtId="0" fontId="10" fillId="6" borderId="6" xfId="0" applyFont="1" applyFill="1" applyBorder="1" applyAlignment="1">
      <alignment horizontal="center" vertical="center" shrinkToFit="1"/>
    </xf>
    <xf numFmtId="0" fontId="0" fillId="0" borderId="15" xfId="0" applyBorder="1" applyAlignment="1">
      <alignment horizontal="center" vertical="center"/>
    </xf>
    <xf numFmtId="3" fontId="0" fillId="0" borderId="15" xfId="0" applyNumberFormat="1" applyBorder="1" applyAlignment="1">
      <alignment horizontal="center" vertical="center"/>
    </xf>
    <xf numFmtId="0" fontId="1" fillId="0" borderId="23" xfId="0" applyFont="1" applyBorder="1" applyAlignment="1">
      <alignment vertical="center"/>
    </xf>
    <xf numFmtId="0" fontId="15" fillId="8" borderId="1" xfId="0" applyFont="1" applyFill="1" applyBorder="1" applyAlignment="1">
      <alignment horizontal="center" vertical="center"/>
    </xf>
    <xf numFmtId="0" fontId="15" fillId="8" borderId="2" xfId="0" applyFont="1" applyFill="1" applyBorder="1" applyAlignment="1">
      <alignment horizontal="center" vertical="center"/>
    </xf>
    <xf numFmtId="0" fontId="15" fillId="8" borderId="3" xfId="0" applyFont="1" applyFill="1" applyBorder="1" applyAlignment="1">
      <alignment horizontal="center" vertical="center"/>
    </xf>
    <xf numFmtId="0" fontId="15" fillId="8" borderId="39" xfId="0" applyFont="1" applyFill="1" applyBorder="1" applyAlignment="1">
      <alignment horizontal="center" vertical="center"/>
    </xf>
    <xf numFmtId="0" fontId="17" fillId="8" borderId="33" xfId="0" applyFont="1" applyFill="1" applyBorder="1" applyAlignment="1">
      <alignment horizontal="center" vertical="center"/>
    </xf>
    <xf numFmtId="0" fontId="18" fillId="8" borderId="34" xfId="0" applyFont="1" applyFill="1" applyBorder="1" applyAlignment="1">
      <alignment horizontal="center" vertical="center"/>
    </xf>
    <xf numFmtId="0" fontId="18" fillId="8" borderId="30" xfId="0" applyFont="1" applyFill="1" applyBorder="1" applyAlignment="1">
      <alignment horizontal="center" vertical="center"/>
    </xf>
    <xf numFmtId="0" fontId="18" fillId="8" borderId="40" xfId="0" applyFont="1" applyFill="1" applyBorder="1" applyAlignment="1">
      <alignment horizontal="center" vertical="center"/>
    </xf>
    <xf numFmtId="0" fontId="19" fillId="0" borderId="0" xfId="0" applyFont="1"/>
    <xf numFmtId="0" fontId="17" fillId="8" borderId="31" xfId="0" applyFont="1" applyFill="1" applyBorder="1" applyAlignment="1">
      <alignment horizontal="center" vertical="center"/>
    </xf>
    <xf numFmtId="0" fontId="18" fillId="8" borderId="32" xfId="0" applyFont="1" applyFill="1" applyBorder="1" applyAlignment="1">
      <alignment horizontal="center" vertical="center"/>
    </xf>
    <xf numFmtId="0" fontId="18" fillId="8" borderId="19" xfId="0" applyFont="1" applyFill="1" applyBorder="1" applyAlignment="1">
      <alignment horizontal="center" vertical="center"/>
    </xf>
    <xf numFmtId="0" fontId="18" fillId="8" borderId="41" xfId="0" applyFont="1" applyFill="1" applyBorder="1" applyAlignment="1">
      <alignment horizontal="center" vertical="center"/>
    </xf>
    <xf numFmtId="0" fontId="17" fillId="8" borderId="35" xfId="0" applyFont="1" applyFill="1" applyBorder="1" applyAlignment="1">
      <alignment horizontal="center" vertical="center"/>
    </xf>
    <xf numFmtId="0" fontId="20" fillId="8" borderId="42" xfId="0" applyFont="1" applyFill="1" applyBorder="1" applyAlignment="1">
      <alignment horizontal="center" vertical="center"/>
    </xf>
    <xf numFmtId="0" fontId="20" fillId="8" borderId="43" xfId="0" applyFont="1" applyFill="1" applyBorder="1" applyAlignment="1">
      <alignment horizontal="center" vertical="center"/>
    </xf>
    <xf numFmtId="0" fontId="20" fillId="8" borderId="44" xfId="0" applyFont="1" applyFill="1" applyBorder="1" applyAlignment="1">
      <alignment horizontal="center" vertical="center"/>
    </xf>
    <xf numFmtId="0" fontId="20" fillId="8" borderId="45" xfId="0" applyFont="1" applyFill="1" applyBorder="1" applyAlignment="1">
      <alignment horizontal="center" vertical="center"/>
    </xf>
    <xf numFmtId="1" fontId="0" fillId="0" borderId="46" xfId="0" applyNumberFormat="1" applyBorder="1" applyAlignment="1">
      <alignment horizontal="center"/>
    </xf>
    <xf numFmtId="2" fontId="0" fillId="0" borderId="36" xfId="0" applyNumberFormat="1" applyBorder="1" applyAlignment="1">
      <alignment horizontal="center"/>
    </xf>
    <xf numFmtId="2" fontId="0" fillId="0" borderId="37" xfId="0" applyNumberFormat="1" applyBorder="1" applyAlignment="1">
      <alignment horizontal="center"/>
    </xf>
    <xf numFmtId="2" fontId="0" fillId="0" borderId="38" xfId="0" applyNumberFormat="1" applyBorder="1" applyAlignment="1">
      <alignment horizontal="center"/>
    </xf>
    <xf numFmtId="0" fontId="0" fillId="0" borderId="47" xfId="0" applyBorder="1" applyAlignment="1">
      <alignment horizontal="center"/>
    </xf>
    <xf numFmtId="2" fontId="0" fillId="0" borderId="48" xfId="0" applyNumberFormat="1" applyBorder="1" applyAlignment="1">
      <alignment horizontal="center"/>
    </xf>
    <xf numFmtId="2" fontId="0" fillId="0" borderId="16" xfId="0" applyNumberFormat="1" applyBorder="1" applyAlignment="1">
      <alignment horizontal="center"/>
    </xf>
    <xf numFmtId="2" fontId="0" fillId="0" borderId="49" xfId="0" applyNumberFormat="1" applyBorder="1" applyAlignment="1">
      <alignment horizontal="center"/>
    </xf>
    <xf numFmtId="0" fontId="0" fillId="0" borderId="42" xfId="0" applyBorder="1" applyAlignment="1">
      <alignment horizontal="center"/>
    </xf>
    <xf numFmtId="2" fontId="0" fillId="0" borderId="43" xfId="0" applyNumberFormat="1" applyBorder="1" applyAlignment="1">
      <alignment horizontal="center"/>
    </xf>
    <xf numFmtId="2" fontId="0" fillId="0" borderId="44" xfId="0" applyNumberFormat="1" applyBorder="1" applyAlignment="1">
      <alignment horizontal="center"/>
    </xf>
    <xf numFmtId="2" fontId="0" fillId="0" borderId="45" xfId="0" applyNumberFormat="1" applyBorder="1" applyAlignment="1">
      <alignment horizontal="center"/>
    </xf>
    <xf numFmtId="0" fontId="1" fillId="0" borderId="0" xfId="0" applyFont="1" applyAlignment="1">
      <alignment horizontal="right"/>
    </xf>
    <xf numFmtId="0" fontId="1" fillId="0" borderId="0" xfId="0" applyFont="1" applyAlignment="1">
      <alignment horizontal="center"/>
    </xf>
    <xf numFmtId="0" fontId="0" fillId="0" borderId="0" xfId="0" applyAlignment="1">
      <alignment horizontal="right"/>
    </xf>
    <xf numFmtId="0" fontId="0" fillId="0" borderId="0" xfId="0" applyAlignment="1">
      <alignment horizontal="right" vertical="center"/>
    </xf>
    <xf numFmtId="0" fontId="0" fillId="0" borderId="0" xfId="0" applyAlignment="1">
      <alignment horizontal="center"/>
    </xf>
    <xf numFmtId="0" fontId="0" fillId="0" borderId="0" xfId="0" applyAlignment="1">
      <alignment horizontal="left" vertical="center"/>
    </xf>
    <xf numFmtId="0" fontId="0" fillId="0" borderId="7" xfId="0" applyBorder="1" applyAlignment="1">
      <alignment horizontal="center"/>
    </xf>
    <xf numFmtId="174" fontId="0" fillId="0" borderId="0" xfId="0" applyNumberFormat="1" applyAlignment="1">
      <alignment horizontal="center"/>
    </xf>
    <xf numFmtId="0" fontId="1" fillId="0" borderId="16" xfId="0" applyFont="1" applyBorder="1" applyAlignment="1">
      <alignment horizontal="center"/>
    </xf>
    <xf numFmtId="0" fontId="0" fillId="0" borderId="16" xfId="0" applyBorder="1" applyAlignment="1">
      <alignment horizontal="right"/>
    </xf>
    <xf numFmtId="0" fontId="0" fillId="0" borderId="16" xfId="0" applyBorder="1" applyAlignment="1">
      <alignment horizontal="center"/>
    </xf>
    <xf numFmtId="0" fontId="0" fillId="0" borderId="0" xfId="0" quotePrefix="1" applyAlignment="1">
      <alignment vertical="center"/>
    </xf>
    <xf numFmtId="0" fontId="21" fillId="0" borderId="0" xfId="0" applyFont="1" applyAlignment="1">
      <alignment horizontal="right" vertical="center" indent="1"/>
    </xf>
    <xf numFmtId="0" fontId="0" fillId="0" borderId="7" xfId="0" applyBorder="1"/>
    <xf numFmtId="0" fontId="0" fillId="0" borderId="12" xfId="0" applyBorder="1" applyAlignment="1">
      <alignment horizontal="center" vertical="top" shrinkToFit="1"/>
    </xf>
    <xf numFmtId="0" fontId="0" fillId="0" borderId="7" xfId="0" applyBorder="1" applyAlignment="1">
      <alignment horizontal="center" vertical="top" shrinkToFit="1"/>
    </xf>
    <xf numFmtId="0" fontId="0" fillId="0" borderId="14" xfId="0" applyBorder="1" applyAlignment="1">
      <alignment horizontal="center" vertical="top" shrinkToFit="1"/>
    </xf>
    <xf numFmtId="0" fontId="0" fillId="0" borderId="9" xfId="0" applyBorder="1" applyAlignment="1">
      <alignment horizontal="center" vertical="top" shrinkToFit="1"/>
    </xf>
    <xf numFmtId="0" fontId="0" fillId="0" borderId="10" xfId="0" applyBorder="1" applyAlignment="1">
      <alignment horizontal="center" vertical="top" shrinkToFit="1"/>
    </xf>
    <xf numFmtId="0" fontId="0" fillId="0" borderId="0" xfId="0" applyAlignment="1">
      <alignment horizontal="center" vertical="top" shrinkToFit="1"/>
    </xf>
    <xf numFmtId="0" fontId="0" fillId="0" borderId="8" xfId="0" applyBorder="1" applyAlignment="1">
      <alignment horizontal="right" indent="1"/>
    </xf>
    <xf numFmtId="0" fontId="0" fillId="0" borderId="11" xfId="0" applyBorder="1" applyAlignment="1">
      <alignment horizontal="right" indent="1"/>
    </xf>
    <xf numFmtId="0" fontId="0" fillId="0" borderId="13" xfId="0" applyBorder="1" applyAlignment="1">
      <alignment horizontal="right" indent="1"/>
    </xf>
    <xf numFmtId="0" fontId="0" fillId="0" borderId="14" xfId="0" applyBorder="1"/>
    <xf numFmtId="164" fontId="6" fillId="0" borderId="0" xfId="0" applyNumberFormat="1" applyFont="1" applyAlignment="1">
      <alignment horizontal="left" vertical="center"/>
    </xf>
    <xf numFmtId="0" fontId="1" fillId="0" borderId="4" xfId="0" applyFont="1" applyBorder="1" applyAlignment="1">
      <alignment horizontal="center"/>
    </xf>
    <xf numFmtId="0" fontId="0" fillId="0" borderId="13" xfId="0" applyBorder="1"/>
    <xf numFmtId="173" fontId="0" fillId="0" borderId="16" xfId="0" applyNumberFormat="1" applyBorder="1" applyAlignment="1">
      <alignment horizontal="center" shrinkToFit="1"/>
    </xf>
    <xf numFmtId="177" fontId="0" fillId="0" borderId="0" xfId="0" applyNumberFormat="1" applyAlignment="1">
      <alignment horizontal="right" indent="1" shrinkToFit="1"/>
    </xf>
    <xf numFmtId="168" fontId="0" fillId="0" borderId="26" xfId="0" applyNumberFormat="1" applyBorder="1" applyAlignment="1">
      <alignment horizontal="right" indent="1" shrinkToFit="1"/>
    </xf>
    <xf numFmtId="167" fontId="0" fillId="0" borderId="0" xfId="0" applyNumberFormat="1" applyAlignment="1">
      <alignment horizontal="right" indent="1" shrinkToFit="1"/>
    </xf>
    <xf numFmtId="166" fontId="0" fillId="0" borderId="0" xfId="0" applyNumberFormat="1" applyAlignment="1">
      <alignment horizontal="right" indent="1" shrinkToFit="1"/>
    </xf>
    <xf numFmtId="0" fontId="0" fillId="0" borderId="16" xfId="0" applyBorder="1" applyAlignment="1">
      <alignment horizontal="right" shrinkToFit="1"/>
    </xf>
    <xf numFmtId="0" fontId="0" fillId="0" borderId="0" xfId="0" applyAlignment="1">
      <alignment horizontal="right" shrinkToFit="1"/>
    </xf>
    <xf numFmtId="172" fontId="0" fillId="0" borderId="4" xfId="0" applyNumberFormat="1" applyBorder="1" applyAlignment="1">
      <alignment shrinkToFit="1"/>
    </xf>
    <xf numFmtId="0" fontId="1" fillId="0" borderId="16" xfId="0" applyFont="1" applyBorder="1" applyAlignment="1">
      <alignment vertical="center"/>
    </xf>
    <xf numFmtId="177" fontId="0" fillId="0" borderId="0" xfId="0" applyNumberFormat="1" applyAlignment="1">
      <alignment horizontal="center" shrinkToFit="1"/>
    </xf>
    <xf numFmtId="0" fontId="1" fillId="0" borderId="0" xfId="0" applyFont="1" applyAlignment="1">
      <alignment horizontal="right" vertical="top"/>
    </xf>
    <xf numFmtId="0" fontId="6" fillId="0" borderId="0" xfId="0" applyFont="1" applyAlignment="1">
      <alignment horizontal="right" vertical="center"/>
    </xf>
    <xf numFmtId="0" fontId="14" fillId="0" borderId="0" xfId="0" applyFont="1" applyAlignment="1">
      <alignment horizontal="right" vertical="top" indent="2"/>
    </xf>
    <xf numFmtId="0" fontId="0" fillId="0" borderId="0" xfId="0" applyAlignment="1">
      <alignment horizontal="right" vertical="top"/>
    </xf>
    <xf numFmtId="0" fontId="0" fillId="0" borderId="8" xfId="0" applyBorder="1"/>
    <xf numFmtId="171" fontId="0" fillId="0" borderId="0" xfId="0" applyNumberFormat="1" applyAlignment="1">
      <alignment vertical="center"/>
    </xf>
    <xf numFmtId="172" fontId="0" fillId="0" borderId="4" xfId="0" applyNumberFormat="1" applyBorder="1" applyAlignment="1">
      <alignment horizontal="right" indent="1" shrinkToFit="1"/>
    </xf>
    <xf numFmtId="0" fontId="0" fillId="0" borderId="8" xfId="0" applyBorder="1" applyAlignment="1">
      <alignment horizontal="center" vertical="top" shrinkToFit="1"/>
    </xf>
    <xf numFmtId="0" fontId="0" fillId="0" borderId="11" xfId="0" applyBorder="1" applyAlignment="1">
      <alignment horizontal="center" vertical="top" shrinkToFit="1"/>
    </xf>
    <xf numFmtId="0" fontId="23" fillId="0" borderId="0" xfId="0" applyFont="1" applyAlignment="1">
      <alignment horizontal="center" vertical="center"/>
    </xf>
    <xf numFmtId="0" fontId="25" fillId="0" borderId="0" xfId="0" applyFont="1" applyAlignment="1">
      <alignment horizontal="center" vertical="center"/>
    </xf>
    <xf numFmtId="0" fontId="25" fillId="0" borderId="0" xfId="0" applyFont="1" applyAlignment="1">
      <alignment horizontal="center" vertical="top"/>
    </xf>
    <xf numFmtId="165" fontId="0" fillId="0" borderId="0" xfId="0" applyNumberFormat="1" applyAlignment="1">
      <alignment horizontal="right"/>
    </xf>
    <xf numFmtId="171" fontId="0" fillId="0" borderId="0" xfId="0" applyNumberFormat="1" applyAlignment="1">
      <alignment horizontal="right" vertical="center" indent="5" shrinkToFit="1"/>
    </xf>
    <xf numFmtId="183" fontId="14" fillId="0" borderId="0" xfId="0" applyNumberFormat="1" applyFont="1" applyAlignment="1">
      <alignment vertical="center"/>
    </xf>
    <xf numFmtId="185" fontId="0" fillId="0" borderId="7" xfId="0" applyNumberFormat="1" applyBorder="1" applyAlignment="1">
      <alignment horizontal="center"/>
    </xf>
    <xf numFmtId="0" fontId="0" fillId="0" borderId="0" xfId="0" applyAlignment="1">
      <alignment vertical="center"/>
    </xf>
    <xf numFmtId="0" fontId="1" fillId="0" borderId="0" xfId="0" applyFont="1" applyAlignment="1">
      <alignment horizontal="right" vertical="center"/>
    </xf>
    <xf numFmtId="0" fontId="6" fillId="0" borderId="0" xfId="0" applyFont="1" applyAlignment="1">
      <alignment horizontal="right" vertical="top"/>
    </xf>
    <xf numFmtId="185" fontId="1" fillId="0" borderId="0" xfId="0" applyNumberFormat="1" applyFont="1" applyAlignment="1">
      <alignment horizontal="left" vertical="center"/>
    </xf>
    <xf numFmtId="0" fontId="0" fillId="0" borderId="0" xfId="0" applyAlignment="1">
      <alignment horizontal="left"/>
    </xf>
    <xf numFmtId="0" fontId="6" fillId="0" borderId="0" xfId="0" applyFont="1" applyAlignment="1">
      <alignment horizontal="center" vertical="top"/>
    </xf>
    <xf numFmtId="0" fontId="0" fillId="10" borderId="0" xfId="0" applyFill="1"/>
    <xf numFmtId="0" fontId="0" fillId="0" borderId="0" xfId="0" applyAlignment="1">
      <alignment vertical="top"/>
    </xf>
    <xf numFmtId="1" fontId="0" fillId="10" borderId="0" xfId="0" applyNumberFormat="1" applyFill="1"/>
    <xf numFmtId="187" fontId="0" fillId="0" borderId="0" xfId="0" applyNumberFormat="1"/>
    <xf numFmtId="0" fontId="0" fillId="0" borderId="19" xfId="0" applyBorder="1" applyAlignment="1">
      <alignment horizontal="center" vertical="center" shrinkToFit="1"/>
    </xf>
    <xf numFmtId="0" fontId="0" fillId="0" borderId="5" xfId="0" applyBorder="1" applyAlignment="1">
      <alignment horizontal="center" vertical="top" shrinkToFit="1"/>
    </xf>
    <xf numFmtId="0" fontId="0" fillId="9" borderId="17" xfId="0" applyFill="1" applyBorder="1" applyAlignment="1">
      <alignment vertical="center"/>
    </xf>
    <xf numFmtId="0" fontId="1" fillId="10" borderId="0" xfId="0" applyFont="1" applyFill="1"/>
    <xf numFmtId="0" fontId="1" fillId="10" borderId="0" xfId="0" applyFont="1" applyFill="1" applyAlignment="1">
      <alignment horizontal="right"/>
    </xf>
    <xf numFmtId="0" fontId="3" fillId="5" borderId="0" xfId="0" applyFont="1" applyFill="1" applyAlignment="1">
      <alignment horizontal="left" vertical="center" shrinkToFit="1"/>
    </xf>
    <xf numFmtId="0" fontId="11" fillId="5" borderId="0" xfId="0" applyFont="1" applyFill="1" applyAlignment="1">
      <alignment horizontal="left" vertical="center" shrinkToFit="1"/>
    </xf>
    <xf numFmtId="0" fontId="10" fillId="6" borderId="0" xfId="0" applyFont="1" applyFill="1" applyAlignment="1">
      <alignment horizontal="center" vertical="center" shrinkToFit="1"/>
    </xf>
    <xf numFmtId="0" fontId="21" fillId="0" borderId="16" xfId="0" applyFont="1" applyBorder="1" applyAlignment="1">
      <alignment horizontal="center" vertical="center" shrinkToFit="1"/>
    </xf>
    <xf numFmtId="191" fontId="0" fillId="0" borderId="0" xfId="0" applyNumberFormat="1"/>
    <xf numFmtId="185" fontId="0" fillId="0" borderId="0" xfId="0" applyNumberFormat="1"/>
    <xf numFmtId="169" fontId="0" fillId="0" borderId="18" xfId="0" applyNumberFormat="1" applyBorder="1" applyAlignment="1">
      <alignment horizontal="center" vertical="center"/>
    </xf>
    <xf numFmtId="2" fontId="0" fillId="0" borderId="18" xfId="0" applyNumberFormat="1" applyBorder="1" applyAlignment="1">
      <alignment horizontal="center" vertical="center"/>
    </xf>
    <xf numFmtId="4" fontId="0" fillId="0" borderId="15" xfId="0" applyNumberFormat="1" applyBorder="1" applyAlignment="1">
      <alignment horizontal="center" vertical="center"/>
    </xf>
    <xf numFmtId="0" fontId="0" fillId="0" borderId="0" xfId="0" applyAlignment="1">
      <alignment wrapText="1"/>
    </xf>
    <xf numFmtId="0" fontId="35" fillId="0" borderId="0" xfId="0" applyFont="1" applyAlignment="1">
      <alignment horizontal="center"/>
    </xf>
    <xf numFmtId="169" fontId="1" fillId="0" borderId="0" xfId="0" applyNumberFormat="1" applyFont="1" applyAlignment="1">
      <alignment horizontal="center" vertical="center"/>
    </xf>
    <xf numFmtId="0" fontId="10" fillId="0" borderId="19" xfId="0" applyFont="1" applyBorder="1" applyAlignment="1">
      <alignment horizontal="center" vertical="center" shrinkToFit="1"/>
    </xf>
    <xf numFmtId="0" fontId="1" fillId="0" borderId="0" xfId="0" applyFont="1" applyAlignment="1">
      <alignment horizontal="center" vertical="center"/>
    </xf>
    <xf numFmtId="0" fontId="11" fillId="0" borderId="53" xfId="0" applyFont="1" applyBorder="1" applyAlignment="1">
      <alignment vertical="top"/>
    </xf>
    <xf numFmtId="0" fontId="0" fillId="0" borderId="0" xfId="0" applyAlignment="1">
      <alignment horizontal="justify" vertical="top" wrapText="1"/>
    </xf>
    <xf numFmtId="0" fontId="0" fillId="0" borderId="0" xfId="0" applyAlignment="1">
      <alignment horizontal="right" vertical="top" wrapText="1"/>
    </xf>
    <xf numFmtId="185" fontId="0" fillId="0" borderId="0" xfId="0" applyNumberFormat="1" applyAlignment="1">
      <alignment horizontal="right" vertical="center"/>
    </xf>
    <xf numFmtId="192" fontId="0" fillId="0" borderId="0" xfId="0" applyNumberFormat="1" applyAlignment="1">
      <alignment horizontal="center" vertical="center" shrinkToFit="1"/>
    </xf>
    <xf numFmtId="181" fontId="6" fillId="0" borderId="0" xfId="0" applyNumberFormat="1" applyFont="1" applyAlignment="1">
      <alignment horizontal="center" vertical="top"/>
    </xf>
    <xf numFmtId="194" fontId="14" fillId="0" borderId="0" xfId="0" applyNumberFormat="1" applyFont="1" applyAlignment="1">
      <alignment horizontal="left" vertical="center" shrinkToFit="1"/>
    </xf>
    <xf numFmtId="189" fontId="1" fillId="0" borderId="0" xfId="0" applyNumberFormat="1" applyFont="1" applyAlignment="1">
      <alignment horizontal="left" vertical="center"/>
    </xf>
    <xf numFmtId="0" fontId="0" fillId="0" borderId="0" xfId="0" quotePrefix="1" applyAlignment="1">
      <alignment wrapText="1"/>
    </xf>
    <xf numFmtId="0" fontId="6" fillId="0" borderId="0" xfId="0" applyFont="1" applyAlignment="1">
      <alignment horizontal="right"/>
    </xf>
    <xf numFmtId="0" fontId="0" fillId="0" borderId="0" xfId="0" applyAlignment="1">
      <alignment horizontal="left" wrapText="1"/>
    </xf>
    <xf numFmtId="0" fontId="3" fillId="5" borderId="0" xfId="0" applyFont="1" applyFill="1" applyAlignment="1">
      <alignment horizontal="left" shrinkToFit="1"/>
    </xf>
    <xf numFmtId="0" fontId="0" fillId="0" borderId="9" xfId="0" applyBorder="1" applyProtection="1">
      <protection hidden="1"/>
    </xf>
    <xf numFmtId="0" fontId="0" fillId="0" borderId="10" xfId="0" applyBorder="1" applyProtection="1">
      <protection hidden="1"/>
    </xf>
    <xf numFmtId="0" fontId="0" fillId="0" borderId="11" xfId="0" applyBorder="1" applyProtection="1">
      <protection hidden="1"/>
    </xf>
    <xf numFmtId="0" fontId="0" fillId="0" borderId="0" xfId="0" applyProtection="1">
      <protection hidden="1"/>
    </xf>
    <xf numFmtId="0" fontId="0" fillId="0" borderId="7" xfId="0" applyBorder="1" applyProtection="1">
      <protection hidden="1"/>
    </xf>
    <xf numFmtId="0" fontId="0" fillId="2" borderId="0" xfId="0" applyFill="1" applyAlignment="1" applyProtection="1">
      <alignment horizontal="center"/>
      <protection hidden="1"/>
    </xf>
    <xf numFmtId="0" fontId="0" fillId="0" borderId="9" xfId="0" applyBorder="1" applyAlignment="1" applyProtection="1">
      <alignment horizontal="center" vertical="top" shrinkToFit="1"/>
      <protection hidden="1"/>
    </xf>
    <xf numFmtId="0" fontId="0" fillId="0" borderId="0" xfId="0" applyAlignment="1" applyProtection="1">
      <alignment horizontal="center" vertical="top" shrinkToFit="1"/>
      <protection hidden="1"/>
    </xf>
    <xf numFmtId="0" fontId="0" fillId="0" borderId="12" xfId="0" applyBorder="1" applyAlignment="1" applyProtection="1">
      <alignment horizontal="center" vertical="top" shrinkToFit="1"/>
      <protection hidden="1"/>
    </xf>
    <xf numFmtId="0" fontId="0" fillId="0" borderId="0" xfId="0" applyAlignment="1" applyProtection="1">
      <alignment horizontal="center" vertical="center" shrinkToFit="1"/>
      <protection hidden="1"/>
    </xf>
    <xf numFmtId="184" fontId="0" fillId="0" borderId="0" xfId="0" applyNumberFormat="1" applyAlignment="1" applyProtection="1">
      <alignment horizontal="center" vertical="center" shrinkToFit="1"/>
      <protection hidden="1"/>
    </xf>
    <xf numFmtId="176" fontId="0" fillId="0" borderId="0" xfId="0" applyNumberFormat="1" applyAlignment="1" applyProtection="1">
      <alignment horizontal="center" vertical="center" shrinkToFit="1"/>
      <protection hidden="1"/>
    </xf>
    <xf numFmtId="2" fontId="0" fillId="0" borderId="16" xfId="0" applyNumberFormat="1" applyBorder="1" applyAlignment="1" applyProtection="1">
      <alignment horizontal="center" vertical="top" shrinkToFit="1"/>
      <protection hidden="1"/>
    </xf>
    <xf numFmtId="2" fontId="0" fillId="0" borderId="44" xfId="0" applyNumberFormat="1" applyBorder="1" applyAlignment="1" applyProtection="1">
      <alignment horizontal="center" vertical="top" shrinkToFit="1"/>
      <protection hidden="1"/>
    </xf>
    <xf numFmtId="2" fontId="0" fillId="0" borderId="19" xfId="0" applyNumberFormat="1" applyBorder="1" applyAlignment="1" applyProtection="1">
      <alignment horizontal="center" vertical="top" shrinkToFit="1"/>
      <protection hidden="1"/>
    </xf>
    <xf numFmtId="2" fontId="0" fillId="0" borderId="30" xfId="0" applyNumberFormat="1" applyBorder="1" applyAlignment="1" applyProtection="1">
      <alignment horizontal="center" vertical="top" shrinkToFit="1"/>
      <protection hidden="1"/>
    </xf>
    <xf numFmtId="187" fontId="0" fillId="0" borderId="44" xfId="0" applyNumberFormat="1" applyBorder="1" applyAlignment="1" applyProtection="1">
      <alignment horizontal="center" vertical="top" shrinkToFit="1"/>
      <protection hidden="1"/>
    </xf>
    <xf numFmtId="187" fontId="0" fillId="0" borderId="19" xfId="0" applyNumberFormat="1" applyBorder="1" applyAlignment="1" applyProtection="1">
      <alignment horizontal="center" vertical="top" shrinkToFit="1"/>
      <protection hidden="1"/>
    </xf>
    <xf numFmtId="187" fontId="0" fillId="0" borderId="30" xfId="0" applyNumberFormat="1" applyBorder="1" applyAlignment="1" applyProtection="1">
      <alignment horizontal="center" vertical="top" shrinkToFit="1"/>
      <protection hidden="1"/>
    </xf>
    <xf numFmtId="0" fontId="0" fillId="0" borderId="44" xfId="0" applyBorder="1" applyAlignment="1" applyProtection="1">
      <alignment horizontal="center" vertical="top" shrinkToFit="1"/>
      <protection hidden="1"/>
    </xf>
    <xf numFmtId="0" fontId="0" fillId="0" borderId="30" xfId="0" applyBorder="1" applyAlignment="1" applyProtection="1">
      <alignment horizontal="center" vertical="center" shrinkToFit="1"/>
      <protection hidden="1"/>
    </xf>
    <xf numFmtId="186" fontId="0" fillId="0" borderId="16" xfId="0" applyNumberFormat="1" applyBorder="1" applyAlignment="1" applyProtection="1">
      <alignment horizontal="center" vertical="center" shrinkToFit="1"/>
      <protection hidden="1"/>
    </xf>
    <xf numFmtId="0" fontId="0" fillId="0" borderId="16" xfId="0" applyBorder="1" applyAlignment="1" applyProtection="1">
      <alignment horizontal="center" vertical="top" shrinkToFit="1"/>
      <protection hidden="1"/>
    </xf>
    <xf numFmtId="0" fontId="0" fillId="0" borderId="6" xfId="0" applyBorder="1" applyAlignment="1" applyProtection="1">
      <alignment horizontal="center" vertical="top" shrinkToFit="1"/>
      <protection hidden="1"/>
    </xf>
    <xf numFmtId="0" fontId="19" fillId="0" borderId="0" xfId="0" applyFont="1" applyAlignment="1" applyProtection="1">
      <alignment horizontal="right" vertical="center" indent="2"/>
      <protection hidden="1"/>
    </xf>
    <xf numFmtId="193" fontId="0" fillId="0" borderId="0" xfId="0" applyNumberFormat="1" applyAlignment="1" applyProtection="1">
      <alignment horizontal="right" vertical="top" indent="1" shrinkToFit="1"/>
      <protection hidden="1"/>
    </xf>
    <xf numFmtId="193" fontId="0" fillId="0" borderId="0" xfId="0" applyNumberFormat="1" applyAlignment="1" applyProtection="1">
      <alignment horizontal="right" indent="1" shrinkToFit="1"/>
      <protection hidden="1"/>
    </xf>
    <xf numFmtId="0" fontId="1" fillId="0" borderId="0" xfId="0" applyFont="1" applyAlignment="1" applyProtection="1">
      <alignment vertical="center"/>
      <protection hidden="1"/>
    </xf>
    <xf numFmtId="0" fontId="0" fillId="0" borderId="0" xfId="0" applyAlignment="1" applyProtection="1">
      <alignment horizontal="left"/>
      <protection hidden="1"/>
    </xf>
    <xf numFmtId="185" fontId="14" fillId="0" borderId="0" xfId="0" applyNumberFormat="1" applyFont="1" applyAlignment="1" applyProtection="1">
      <alignment horizontal="left" vertical="center"/>
      <protection hidden="1"/>
    </xf>
    <xf numFmtId="0" fontId="1" fillId="10" borderId="0" xfId="0" applyFont="1" applyFill="1" applyAlignment="1" applyProtection="1">
      <alignment horizontal="left" vertical="center"/>
      <protection hidden="1"/>
    </xf>
    <xf numFmtId="0" fontId="1" fillId="0" borderId="0" xfId="0" applyFont="1" applyAlignment="1" applyProtection="1">
      <alignment horizontal="right"/>
      <protection hidden="1"/>
    </xf>
    <xf numFmtId="0" fontId="0" fillId="10" borderId="0" xfId="0" applyFill="1" applyProtection="1">
      <protection hidden="1"/>
    </xf>
    <xf numFmtId="0" fontId="0" fillId="0" borderId="0" xfId="0" applyAlignment="1" applyProtection="1">
      <alignment vertical="top"/>
      <protection hidden="1"/>
    </xf>
    <xf numFmtId="175" fontId="0" fillId="0" borderId="9" xfId="0" applyNumberFormat="1" applyBorder="1" applyAlignment="1" applyProtection="1">
      <alignment horizontal="right" indent="1" shrinkToFit="1"/>
      <protection hidden="1"/>
    </xf>
    <xf numFmtId="175" fontId="0" fillId="0" borderId="0" xfId="0" applyNumberFormat="1" applyAlignment="1" applyProtection="1">
      <alignment horizontal="right" indent="1" shrinkToFit="1"/>
      <protection hidden="1"/>
    </xf>
    <xf numFmtId="176" fontId="0" fillId="0" borderId="7" xfId="0" applyNumberFormat="1" applyBorder="1" applyAlignment="1" applyProtection="1">
      <alignment horizontal="right" indent="1" shrinkToFit="1"/>
      <protection hidden="1"/>
    </xf>
    <xf numFmtId="0" fontId="0" fillId="0" borderId="8" xfId="0" applyBorder="1" applyAlignment="1" applyProtection="1">
      <alignment horizontal="right" indent="1"/>
      <protection hidden="1"/>
    </xf>
    <xf numFmtId="0" fontId="0" fillId="0" borderId="9" xfId="0" applyBorder="1" applyAlignment="1" applyProtection="1">
      <alignment horizontal="right" indent="1" shrinkToFit="1"/>
      <protection hidden="1"/>
    </xf>
    <xf numFmtId="0" fontId="0" fillId="0" borderId="11" xfId="0" applyBorder="1" applyAlignment="1" applyProtection="1">
      <alignment horizontal="right" indent="1"/>
      <protection hidden="1"/>
    </xf>
    <xf numFmtId="0" fontId="0" fillId="0" borderId="0" xfId="0" applyAlignment="1" applyProtection="1">
      <alignment horizontal="right" indent="1" shrinkToFit="1"/>
      <protection hidden="1"/>
    </xf>
    <xf numFmtId="0" fontId="0" fillId="0" borderId="13" xfId="0" applyBorder="1" applyAlignment="1" applyProtection="1">
      <alignment horizontal="right" indent="1"/>
      <protection hidden="1"/>
    </xf>
    <xf numFmtId="0" fontId="0" fillId="0" borderId="7" xfId="0" applyBorder="1" applyAlignment="1" applyProtection="1">
      <alignment horizontal="right" indent="1" shrinkToFit="1"/>
      <protection hidden="1"/>
    </xf>
    <xf numFmtId="0" fontId="1" fillId="0" borderId="16" xfId="0" applyFont="1" applyBorder="1" applyAlignment="1" applyProtection="1">
      <alignment horizontal="center"/>
      <protection hidden="1"/>
    </xf>
    <xf numFmtId="0" fontId="0" fillId="0" borderId="0" xfId="0" applyAlignment="1" applyProtection="1">
      <alignment horizontal="center" vertical="center"/>
      <protection hidden="1"/>
    </xf>
    <xf numFmtId="0" fontId="1" fillId="0" borderId="4" xfId="0" applyFont="1" applyBorder="1" applyAlignment="1" applyProtection="1">
      <alignment vertical="center"/>
      <protection hidden="1"/>
    </xf>
    <xf numFmtId="0" fontId="1" fillId="0" borderId="16" xfId="0" applyFont="1" applyBorder="1" applyAlignment="1" applyProtection="1">
      <alignment horizontal="right" shrinkToFit="1"/>
      <protection hidden="1"/>
    </xf>
    <xf numFmtId="0" fontId="0" fillId="0" borderId="16" xfId="0" applyBorder="1" applyAlignment="1" applyProtection="1">
      <alignment horizontal="center" shrinkToFit="1"/>
      <protection hidden="1"/>
    </xf>
    <xf numFmtId="0" fontId="25" fillId="0" borderId="16" xfId="0" applyFont="1" applyBorder="1" applyAlignment="1" applyProtection="1">
      <alignment horizontal="left" vertical="center" shrinkToFit="1"/>
      <protection hidden="1"/>
    </xf>
    <xf numFmtId="0" fontId="25" fillId="0" borderId="16" xfId="0" applyFont="1" applyBorder="1" applyAlignment="1" applyProtection="1">
      <alignment horizontal="center" vertical="center" shrinkToFit="1"/>
      <protection hidden="1"/>
    </xf>
    <xf numFmtId="0" fontId="0" fillId="0" borderId="16" xfId="0" applyBorder="1" applyAlignment="1" applyProtection="1">
      <alignment horizontal="center" vertical="top" textRotation="255" shrinkToFit="1"/>
      <protection hidden="1"/>
    </xf>
    <xf numFmtId="2" fontId="0" fillId="8" borderId="4" xfId="0" applyNumberFormat="1" applyFill="1" applyBorder="1" applyAlignment="1" applyProtection="1">
      <alignment vertical="center" shrinkToFit="1"/>
      <protection hidden="1"/>
    </xf>
    <xf numFmtId="2" fontId="0" fillId="0" borderId="4" xfId="0" applyNumberFormat="1" applyBorder="1" applyAlignment="1" applyProtection="1">
      <alignment vertical="center" shrinkToFit="1"/>
      <protection hidden="1"/>
    </xf>
    <xf numFmtId="2" fontId="0" fillId="0" borderId="16" xfId="0" applyNumberFormat="1" applyBorder="1" applyAlignment="1" applyProtection="1">
      <alignment vertical="center" shrinkToFit="1"/>
      <protection hidden="1"/>
    </xf>
    <xf numFmtId="1" fontId="0" fillId="0" borderId="16" xfId="0" applyNumberFormat="1" applyBorder="1" applyAlignment="1" applyProtection="1">
      <alignment horizontal="center" vertical="center" shrinkToFit="1"/>
      <protection hidden="1"/>
    </xf>
    <xf numFmtId="0" fontId="0" fillId="0" borderId="0" xfId="0" quotePrefix="1" applyProtection="1">
      <protection hidden="1"/>
    </xf>
    <xf numFmtId="0" fontId="0" fillId="0" borderId="12" xfId="0" applyBorder="1" applyProtection="1">
      <protection hidden="1"/>
    </xf>
    <xf numFmtId="0" fontId="0" fillId="0" borderId="14" xfId="0" applyBorder="1" applyProtection="1">
      <protection hidden="1"/>
    </xf>
    <xf numFmtId="0" fontId="25" fillId="0" borderId="19" xfId="0" applyFont="1" applyBorder="1" applyAlignment="1" applyProtection="1">
      <alignment horizontal="left" vertical="center" shrinkToFit="1"/>
      <protection hidden="1"/>
    </xf>
    <xf numFmtId="0" fontId="1" fillId="0" borderId="9" xfId="0" applyFont="1" applyBorder="1" applyAlignment="1" applyProtection="1">
      <alignment horizontal="center" vertical="center"/>
      <protection hidden="1"/>
    </xf>
    <xf numFmtId="2" fontId="0" fillId="0" borderId="0" xfId="0" applyNumberFormat="1" applyProtection="1">
      <protection hidden="1"/>
    </xf>
    <xf numFmtId="171" fontId="22" fillId="0" borderId="16" xfId="0" applyNumberFormat="1" applyFont="1" applyBorder="1" applyAlignment="1" applyProtection="1">
      <alignment horizontal="center"/>
      <protection hidden="1"/>
    </xf>
    <xf numFmtId="171" fontId="26" fillId="0" borderId="16" xfId="0" applyNumberFormat="1" applyFont="1" applyBorder="1" applyAlignment="1" applyProtection="1">
      <alignment horizontal="center"/>
      <protection hidden="1"/>
    </xf>
    <xf numFmtId="177" fontId="0" fillId="0" borderId="0" xfId="0" applyNumberFormat="1" applyAlignment="1" applyProtection="1">
      <alignment horizontal="right" indent="1" shrinkToFit="1"/>
      <protection hidden="1"/>
    </xf>
    <xf numFmtId="178" fontId="0" fillId="0" borderId="16" xfId="0" applyNumberFormat="1" applyBorder="1" applyAlignment="1" applyProtection="1">
      <alignment horizontal="center" shrinkToFit="1"/>
      <protection hidden="1"/>
    </xf>
    <xf numFmtId="172" fontId="0" fillId="0" borderId="16" xfId="0" applyNumberFormat="1" applyBorder="1" applyAlignment="1" applyProtection="1">
      <alignment horizontal="center" shrinkToFit="1"/>
      <protection hidden="1"/>
    </xf>
    <xf numFmtId="0" fontId="19" fillId="0" borderId="16" xfId="0" applyFont="1" applyBorder="1" applyAlignment="1" applyProtection="1">
      <alignment horizontal="center" shrinkToFit="1"/>
      <protection hidden="1"/>
    </xf>
    <xf numFmtId="172" fontId="0" fillId="0" borderId="4" xfId="0" applyNumberFormat="1" applyBorder="1" applyAlignment="1" applyProtection="1">
      <alignment shrinkToFit="1"/>
      <protection hidden="1"/>
    </xf>
    <xf numFmtId="172" fontId="0" fillId="0" borderId="4" xfId="0" applyNumberFormat="1" applyBorder="1" applyAlignment="1" applyProtection="1">
      <alignment horizontal="right" indent="1" shrinkToFit="1"/>
      <protection hidden="1"/>
    </xf>
    <xf numFmtId="174" fontId="0" fillId="0" borderId="4" xfId="0" applyNumberFormat="1" applyBorder="1" applyAlignment="1" applyProtection="1">
      <alignment shrinkToFit="1"/>
      <protection hidden="1"/>
    </xf>
    <xf numFmtId="173" fontId="0" fillId="0" borderId="16" xfId="0" applyNumberFormat="1" applyBorder="1" applyAlignment="1" applyProtection="1">
      <alignment horizontal="right" indent="1" shrinkToFit="1"/>
      <protection hidden="1"/>
    </xf>
    <xf numFmtId="2" fontId="1" fillId="10" borderId="0" xfId="0" applyNumberFormat="1" applyFont="1" applyFill="1" applyAlignment="1" applyProtection="1">
      <alignment horizontal="left"/>
      <protection hidden="1"/>
    </xf>
    <xf numFmtId="0" fontId="1" fillId="10" borderId="0" xfId="0" applyFont="1" applyFill="1" applyAlignment="1" applyProtection="1">
      <alignment horizontal="center"/>
      <protection hidden="1"/>
    </xf>
    <xf numFmtId="169" fontId="0" fillId="0" borderId="0" xfId="0" applyNumberFormat="1" applyProtection="1">
      <protection hidden="1"/>
    </xf>
    <xf numFmtId="2" fontId="0" fillId="0" borderId="0" xfId="0" applyNumberFormat="1" applyAlignment="1" applyProtection="1">
      <alignment shrinkToFit="1"/>
      <protection hidden="1"/>
    </xf>
    <xf numFmtId="169" fontId="0" fillId="0" borderId="0" xfId="0" applyNumberFormat="1" applyAlignment="1" applyProtection="1">
      <alignment shrinkToFit="1"/>
      <protection hidden="1"/>
    </xf>
    <xf numFmtId="0" fontId="0" fillId="0" borderId="0" xfId="0" applyAlignment="1" applyProtection="1">
      <alignment horizontal="center"/>
      <protection hidden="1"/>
    </xf>
    <xf numFmtId="169" fontId="0" fillId="9" borderId="17" xfId="0" applyNumberFormat="1" applyFill="1" applyBorder="1" applyProtection="1">
      <protection hidden="1"/>
    </xf>
    <xf numFmtId="169" fontId="0" fillId="9" borderId="18" xfId="0" applyNumberFormat="1" applyFill="1" applyBorder="1" applyProtection="1">
      <protection hidden="1"/>
    </xf>
    <xf numFmtId="2" fontId="0" fillId="9" borderId="18" xfId="0" applyNumberFormat="1" applyFill="1" applyBorder="1" applyAlignment="1" applyProtection="1">
      <alignment shrinkToFit="1"/>
      <protection hidden="1"/>
    </xf>
    <xf numFmtId="169" fontId="0" fillId="9" borderId="50" xfId="0" applyNumberFormat="1" applyFill="1" applyBorder="1" applyProtection="1">
      <protection hidden="1"/>
    </xf>
    <xf numFmtId="169" fontId="0" fillId="9" borderId="15" xfId="0" applyNumberFormat="1" applyFill="1" applyBorder="1" applyProtection="1">
      <protection hidden="1"/>
    </xf>
    <xf numFmtId="2" fontId="0" fillId="9" borderId="15" xfId="0" applyNumberFormat="1" applyFill="1" applyBorder="1" applyAlignment="1" applyProtection="1">
      <alignment shrinkToFit="1"/>
      <protection hidden="1"/>
    </xf>
    <xf numFmtId="0" fontId="10" fillId="3" borderId="19" xfId="0" applyFont="1" applyFill="1" applyBorder="1" applyAlignment="1" applyProtection="1">
      <alignment horizontal="center" vertical="center" shrinkToFit="1"/>
      <protection locked="0"/>
    </xf>
    <xf numFmtId="0" fontId="4" fillId="11" borderId="19" xfId="0" applyFont="1" applyFill="1" applyBorder="1" applyAlignment="1" applyProtection="1">
      <alignment horizontal="center" vertical="center" shrinkToFit="1"/>
      <protection locked="0"/>
    </xf>
    <xf numFmtId="0" fontId="1" fillId="0" borderId="0" xfId="0" applyFont="1" applyAlignment="1">
      <alignment wrapText="1"/>
    </xf>
    <xf numFmtId="0" fontId="1" fillId="0" borderId="0" xfId="0" applyFont="1" applyAlignment="1" applyProtection="1">
      <alignment vertical="top"/>
      <protection hidden="1"/>
    </xf>
    <xf numFmtId="0" fontId="13" fillId="0" borderId="0" xfId="2" applyAlignment="1" applyProtection="1">
      <alignment vertical="top"/>
      <protection hidden="1"/>
    </xf>
    <xf numFmtId="0" fontId="7" fillId="0" borderId="0" xfId="0" applyFont="1" applyAlignment="1" applyProtection="1">
      <alignment vertical="top"/>
      <protection hidden="1"/>
    </xf>
    <xf numFmtId="0" fontId="1" fillId="0" borderId="0" xfId="0" applyFont="1" applyAlignment="1" applyProtection="1">
      <alignment horizontal="center" vertical="top"/>
      <protection locked="0" hidden="1"/>
    </xf>
    <xf numFmtId="0" fontId="0" fillId="0" borderId="0" xfId="0" applyAlignment="1" applyProtection="1">
      <alignment vertical="top" wrapText="1"/>
      <protection hidden="1"/>
    </xf>
    <xf numFmtId="0" fontId="3" fillId="0" borderId="0" xfId="0" applyFont="1" applyAlignment="1">
      <alignment wrapText="1"/>
    </xf>
    <xf numFmtId="0" fontId="3" fillId="0" borderId="0" xfId="0" applyFont="1" applyAlignment="1">
      <alignment horizontal="center" wrapText="1"/>
    </xf>
    <xf numFmtId="0" fontId="3" fillId="0" borderId="0" xfId="0" applyFont="1" applyAlignment="1">
      <alignment horizontal="center" vertical="top"/>
    </xf>
    <xf numFmtId="0" fontId="3" fillId="0" borderId="0" xfId="0" applyFont="1" applyAlignment="1">
      <alignment horizontal="left" vertical="top"/>
    </xf>
    <xf numFmtId="0" fontId="3" fillId="0" borderId="0" xfId="0" applyFont="1" applyAlignment="1">
      <alignment horizontal="center" vertical="center" wrapText="1"/>
    </xf>
    <xf numFmtId="0" fontId="11" fillId="0" borderId="0" xfId="0" applyFont="1" applyAlignment="1">
      <alignment horizontal="center" vertical="center" wrapText="1" shrinkToFit="1"/>
    </xf>
    <xf numFmtId="0" fontId="3" fillId="0" borderId="0" xfId="0" applyFont="1" applyAlignment="1">
      <alignment horizontal="left" vertical="top" wrapText="1"/>
    </xf>
    <xf numFmtId="0" fontId="1" fillId="0" borderId="0" xfId="0" applyFont="1" applyAlignment="1">
      <alignment horizontal="left" vertical="top" wrapText="1"/>
    </xf>
    <xf numFmtId="0" fontId="11" fillId="0" borderId="0" xfId="0" applyFont="1" applyAlignment="1">
      <alignment horizontal="right" vertical="center" shrinkToFit="1"/>
    </xf>
    <xf numFmtId="0" fontId="0" fillId="0" borderId="44" xfId="0" applyBorder="1" applyAlignment="1">
      <alignment shrinkToFit="1"/>
    </xf>
    <xf numFmtId="0" fontId="0" fillId="0" borderId="19" xfId="0" applyBorder="1" applyAlignment="1">
      <alignment shrinkToFit="1"/>
    </xf>
    <xf numFmtId="0" fontId="0" fillId="0" borderId="30" xfId="0" applyBorder="1" applyAlignment="1">
      <alignment shrinkToFit="1"/>
    </xf>
    <xf numFmtId="0" fontId="0" fillId="0" borderId="44" xfId="0" applyBorder="1" applyAlignment="1">
      <alignment horizontal="left" vertical="top" shrinkToFit="1"/>
    </xf>
    <xf numFmtId="0" fontId="0" fillId="0" borderId="19" xfId="0" applyBorder="1" applyAlignment="1">
      <alignment horizontal="left" vertical="top" shrinkToFit="1"/>
    </xf>
    <xf numFmtId="0" fontId="0" fillId="0" borderId="16" xfId="0" applyBorder="1" applyAlignment="1">
      <alignment shrinkToFit="1"/>
    </xf>
    <xf numFmtId="0" fontId="4" fillId="4" borderId="0" xfId="0" applyFont="1" applyFill="1" applyAlignment="1">
      <alignment vertical="top"/>
    </xf>
    <xf numFmtId="0" fontId="4" fillId="4" borderId="0" xfId="0" applyFont="1" applyFill="1" applyAlignment="1">
      <alignment horizontal="center" vertical="top"/>
    </xf>
    <xf numFmtId="0" fontId="4" fillId="4" borderId="0" xfId="0" applyFont="1" applyFill="1" applyAlignment="1">
      <alignment horizontal="center" vertical="top" wrapText="1"/>
    </xf>
    <xf numFmtId="0" fontId="10" fillId="7" borderId="0" xfId="0" applyFont="1" applyFill="1" applyAlignment="1">
      <alignment horizontal="center" vertical="top" wrapText="1"/>
    </xf>
    <xf numFmtId="0" fontId="4" fillId="4" borderId="0" xfId="0" applyFont="1" applyFill="1" applyAlignment="1">
      <alignment horizontal="left" vertical="top" wrapText="1"/>
    </xf>
    <xf numFmtId="0" fontId="0" fillId="0" borderId="15" xfId="0" applyBorder="1" applyAlignment="1">
      <alignment horizontal="center" vertical="center" wrapText="1"/>
    </xf>
    <xf numFmtId="0" fontId="36" fillId="7" borderId="0" xfId="0" applyFont="1" applyFill="1" applyAlignment="1">
      <alignment horizontal="left" vertical="top" wrapText="1"/>
    </xf>
    <xf numFmtId="0" fontId="0" fillId="0" borderId="0" xfId="0" applyAlignment="1">
      <alignment vertical="top" shrinkToFit="1"/>
    </xf>
    <xf numFmtId="0" fontId="3" fillId="7" borderId="0" xfId="0" applyFont="1" applyFill="1" applyAlignment="1">
      <alignment horizontal="left" vertical="top" wrapText="1"/>
    </xf>
    <xf numFmtId="0" fontId="42" fillId="0" borderId="55" xfId="0" applyFont="1" applyBorder="1" applyAlignment="1">
      <alignment horizontal="center" vertical="center" shrinkToFit="1"/>
    </xf>
    <xf numFmtId="0" fontId="4" fillId="4" borderId="20" xfId="0" applyFont="1" applyFill="1" applyBorder="1" applyAlignment="1">
      <alignment horizontal="center"/>
    </xf>
    <xf numFmtId="0" fontId="0" fillId="9" borderId="18" xfId="0" applyFill="1" applyBorder="1" applyAlignment="1">
      <alignment vertical="center"/>
    </xf>
    <xf numFmtId="0" fontId="3" fillId="0" borderId="0" xfId="0" applyFont="1" applyAlignment="1">
      <alignment horizontal="center" shrinkToFit="1"/>
    </xf>
    <xf numFmtId="0" fontId="11" fillId="0" borderId="53" xfId="0" applyFont="1" applyBorder="1" applyAlignment="1" applyProtection="1">
      <alignment vertical="top"/>
      <protection hidden="1"/>
    </xf>
    <xf numFmtId="0" fontId="11" fillId="0" borderId="54" xfId="0" applyFont="1" applyBorder="1" applyAlignment="1" applyProtection="1">
      <alignment vertical="top"/>
      <protection hidden="1"/>
    </xf>
    <xf numFmtId="0" fontId="4" fillId="13" borderId="15" xfId="0" applyFont="1" applyFill="1" applyBorder="1" applyAlignment="1">
      <alignment horizontal="right" vertical="center" shrinkToFit="1"/>
    </xf>
    <xf numFmtId="0" fontId="4" fillId="13" borderId="0" xfId="0" applyFont="1" applyFill="1" applyAlignment="1">
      <alignment horizontal="right" vertical="center" shrinkToFit="1"/>
    </xf>
    <xf numFmtId="0" fontId="0" fillId="0" borderId="0" xfId="0" applyAlignment="1" applyProtection="1">
      <alignment horizontal="center" vertical="center"/>
      <protection locked="0"/>
    </xf>
    <xf numFmtId="0" fontId="1" fillId="0" borderId="0" xfId="0" applyFont="1" applyAlignment="1" applyProtection="1">
      <alignment shrinkToFit="1"/>
      <protection hidden="1"/>
    </xf>
    <xf numFmtId="0" fontId="13" fillId="0" borderId="0" xfId="2" applyAlignment="1">
      <alignment horizontal="center" vertical="center"/>
    </xf>
    <xf numFmtId="0" fontId="11" fillId="2" borderId="0" xfId="0" applyFont="1" applyFill="1" applyAlignment="1">
      <alignment shrinkToFit="1"/>
    </xf>
    <xf numFmtId="0" fontId="12" fillId="0" borderId="0" xfId="0" applyFont="1" applyAlignment="1" applyProtection="1">
      <alignment horizontal="justify" vertical="top" wrapText="1"/>
      <protection hidden="1"/>
    </xf>
    <xf numFmtId="0" fontId="48" fillId="0" borderId="0" xfId="0" quotePrefix="1" applyFont="1" applyAlignment="1" applyProtection="1">
      <alignment horizontal="center" vertical="top"/>
      <protection hidden="1"/>
    </xf>
    <xf numFmtId="0" fontId="47" fillId="0" borderId="0" xfId="0" quotePrefix="1" applyFont="1" applyAlignment="1" applyProtection="1">
      <alignment horizontal="center" vertical="top" wrapText="1"/>
      <protection hidden="1"/>
    </xf>
    <xf numFmtId="0" fontId="12" fillId="0" borderId="0" xfId="0" applyFont="1" applyAlignment="1">
      <alignment horizontal="justify" vertical="top" wrapText="1"/>
    </xf>
    <xf numFmtId="0" fontId="11" fillId="0" borderId="54" xfId="0" applyFont="1" applyBorder="1" applyAlignment="1">
      <alignment vertical="top"/>
    </xf>
    <xf numFmtId="0" fontId="12" fillId="0" borderId="56" xfId="0" applyFont="1" applyBorder="1" applyAlignment="1">
      <alignment horizontal="justify" vertical="top" wrapText="1"/>
    </xf>
    <xf numFmtId="0" fontId="46" fillId="0" borderId="0" xfId="2" applyFont="1" applyBorder="1" applyAlignment="1" applyProtection="1">
      <alignment vertical="center" wrapText="1"/>
      <protection hidden="1"/>
    </xf>
    <xf numFmtId="0" fontId="13" fillId="0" borderId="63" xfId="2" applyBorder="1" applyAlignment="1">
      <alignment horizontal="center" vertical="center"/>
    </xf>
    <xf numFmtId="0" fontId="46" fillId="11" borderId="65" xfId="0" applyFont="1" applyFill="1" applyBorder="1" applyAlignment="1" applyProtection="1">
      <alignment horizontal="center" vertical="center" shrinkToFit="1"/>
      <protection locked="0"/>
    </xf>
    <xf numFmtId="0" fontId="46" fillId="11" borderId="65" xfId="0" applyFont="1" applyFill="1" applyBorder="1" applyAlignment="1" applyProtection="1">
      <alignment horizontal="center" shrinkToFit="1"/>
      <protection locked="0"/>
    </xf>
    <xf numFmtId="0" fontId="50" fillId="11" borderId="65" xfId="0" applyFont="1" applyFill="1" applyBorder="1" applyAlignment="1" applyProtection="1">
      <alignment horizontal="center" vertical="center" shrinkToFit="1"/>
      <protection locked="0"/>
    </xf>
    <xf numFmtId="0" fontId="26" fillId="5" borderId="65" xfId="0" applyFont="1" applyFill="1" applyBorder="1" applyAlignment="1">
      <alignment horizontal="left" vertical="center" shrinkToFit="1"/>
    </xf>
    <xf numFmtId="0" fontId="21" fillId="0" borderId="7" xfId="0" applyFont="1" applyBorder="1" applyAlignment="1" applyProtection="1">
      <alignment horizontal="center" vertical="center" shrinkToFit="1"/>
      <protection hidden="1"/>
    </xf>
    <xf numFmtId="0" fontId="21" fillId="0" borderId="14" xfId="0" applyFont="1" applyBorder="1" applyAlignment="1" applyProtection="1">
      <alignment horizontal="center" vertical="center" shrinkToFit="1"/>
      <protection hidden="1"/>
    </xf>
    <xf numFmtId="0" fontId="4" fillId="12" borderId="0" xfId="0" applyFont="1" applyFill="1" applyAlignment="1">
      <alignment horizontal="center" vertical="center"/>
    </xf>
    <xf numFmtId="0" fontId="4" fillId="12" borderId="0" xfId="0" applyFont="1" applyFill="1" applyAlignment="1">
      <alignment horizontal="center" vertical="center" textRotation="90"/>
    </xf>
    <xf numFmtId="0" fontId="0" fillId="0" borderId="66" xfId="0" applyBorder="1"/>
    <xf numFmtId="0" fontId="0" fillId="0" borderId="69" xfId="0" applyBorder="1"/>
    <xf numFmtId="0" fontId="0" fillId="0" borderId="67" xfId="0" applyBorder="1"/>
    <xf numFmtId="0" fontId="4" fillId="13" borderId="70" xfId="0" applyFont="1" applyFill="1" applyBorder="1" applyAlignment="1" applyProtection="1">
      <alignment horizontal="center" vertical="top"/>
      <protection locked="0"/>
    </xf>
    <xf numFmtId="9" fontId="4" fillId="13" borderId="71" xfId="3" applyFont="1" applyFill="1" applyBorder="1" applyAlignment="1" applyProtection="1">
      <alignment horizontal="center" vertical="top"/>
      <protection locked="0"/>
    </xf>
    <xf numFmtId="9" fontId="4" fillId="13" borderId="72" xfId="3" applyFont="1" applyFill="1" applyBorder="1" applyAlignment="1" applyProtection="1">
      <alignment horizontal="center" vertical="top"/>
      <protection locked="0"/>
    </xf>
    <xf numFmtId="0" fontId="0" fillId="0" borderId="71" xfId="0" applyBorder="1" applyAlignment="1">
      <alignment horizontal="left"/>
    </xf>
    <xf numFmtId="0" fontId="4" fillId="13" borderId="72" xfId="0" applyFont="1" applyFill="1" applyBorder="1" applyAlignment="1" applyProtection="1">
      <alignment horizontal="center" vertical="top"/>
      <protection locked="0"/>
    </xf>
    <xf numFmtId="0" fontId="56" fillId="11" borderId="65" xfId="0" applyFont="1" applyFill="1" applyBorder="1" applyAlignment="1">
      <alignment horizontal="center" vertical="center"/>
    </xf>
    <xf numFmtId="0" fontId="49" fillId="0" borderId="0" xfId="2" applyFont="1" applyBorder="1" applyAlignment="1" applyProtection="1">
      <alignment horizontal="left" vertical="center" wrapText="1"/>
      <protection hidden="1"/>
    </xf>
    <xf numFmtId="0" fontId="0" fillId="0" borderId="15" xfId="0" applyBorder="1" applyAlignment="1" applyProtection="1">
      <alignment vertical="center" wrapText="1"/>
      <protection locked="0"/>
    </xf>
    <xf numFmtId="0" fontId="1" fillId="0" borderId="0" xfId="0" applyFont="1" applyAlignment="1">
      <alignment vertical="top" wrapText="1"/>
    </xf>
    <xf numFmtId="0" fontId="3" fillId="0" borderId="0" xfId="0" applyFont="1" applyAlignment="1">
      <alignment vertical="top"/>
    </xf>
    <xf numFmtId="0" fontId="1" fillId="0" borderId="0" xfId="0" applyFont="1" applyAlignment="1">
      <alignment vertical="center"/>
    </xf>
    <xf numFmtId="2" fontId="0" fillId="0" borderId="0" xfId="0" applyNumberFormat="1" applyAlignment="1">
      <alignment horizontal="center" vertical="center"/>
    </xf>
    <xf numFmtId="0" fontId="3" fillId="0" borderId="0" xfId="0" applyFont="1" applyAlignment="1">
      <alignment horizontal="center" vertical="center"/>
    </xf>
    <xf numFmtId="169" fontId="3" fillId="0" borderId="0" xfId="0" applyNumberFormat="1" applyFont="1" applyAlignment="1">
      <alignment horizontal="center" vertical="center"/>
    </xf>
    <xf numFmtId="0" fontId="60" fillId="0" borderId="0" xfId="0" applyFont="1" applyAlignment="1">
      <alignment vertical="top" wrapText="1"/>
    </xf>
    <xf numFmtId="169" fontId="0" fillId="0" borderId="0" xfId="0" applyNumberFormat="1" applyAlignment="1">
      <alignment horizontal="center" vertical="center" shrinkToFit="1"/>
    </xf>
    <xf numFmtId="177" fontId="0" fillId="0" borderId="0" xfId="0" applyNumberFormat="1" applyAlignment="1">
      <alignment shrinkToFit="1"/>
    </xf>
    <xf numFmtId="2" fontId="0" fillId="0" borderId="0" xfId="0" applyNumberFormat="1" applyAlignment="1">
      <alignment shrinkToFit="1"/>
    </xf>
    <xf numFmtId="2" fontId="61" fillId="0" borderId="15" xfId="0" applyNumberFormat="1" applyFont="1" applyBorder="1" applyAlignment="1">
      <alignment horizontal="center" vertical="center"/>
    </xf>
    <xf numFmtId="0" fontId="0" fillId="0" borderId="0" xfId="0" quotePrefix="1"/>
    <xf numFmtId="2" fontId="0" fillId="0" borderId="15" xfId="0" applyNumberFormat="1" applyBorder="1" applyAlignment="1">
      <alignment horizontal="center" vertical="center"/>
    </xf>
    <xf numFmtId="2" fontId="0" fillId="0" borderId="0" xfId="0" applyNumberFormat="1"/>
    <xf numFmtId="0" fontId="1" fillId="0" borderId="74" xfId="0" applyFont="1" applyBorder="1"/>
    <xf numFmtId="0" fontId="1" fillId="0" borderId="75" xfId="0" applyFont="1" applyBorder="1"/>
    <xf numFmtId="0" fontId="1" fillId="0" borderId="76" xfId="0" applyFont="1" applyBorder="1" applyAlignment="1">
      <alignment horizontal="right"/>
    </xf>
    <xf numFmtId="0" fontId="1" fillId="0" borderId="0" xfId="0" applyFont="1" applyAlignment="1" applyProtection="1">
      <alignment vertical="center" shrinkToFit="1"/>
      <protection hidden="1"/>
    </xf>
    <xf numFmtId="198" fontId="0" fillId="0" borderId="30" xfId="0" applyNumberFormat="1" applyBorder="1" applyAlignment="1">
      <alignment horizontal="center" shrinkToFit="1"/>
    </xf>
    <xf numFmtId="198" fontId="0" fillId="0" borderId="16" xfId="0" applyNumberFormat="1" applyBorder="1" applyAlignment="1">
      <alignment horizontal="center" shrinkToFit="1"/>
    </xf>
    <xf numFmtId="198" fontId="0" fillId="0" borderId="44" xfId="0" applyNumberFormat="1" applyBorder="1" applyAlignment="1">
      <alignment horizontal="center" shrinkToFit="1"/>
    </xf>
    <xf numFmtId="0" fontId="45" fillId="0" borderId="0" xfId="0" applyFont="1" applyAlignment="1">
      <alignment horizontal="center"/>
    </xf>
    <xf numFmtId="0" fontId="37" fillId="12" borderId="51" xfId="2" applyFont="1" applyFill="1" applyBorder="1" applyAlignment="1" applyProtection="1">
      <alignment horizontal="left"/>
      <protection hidden="1"/>
    </xf>
    <xf numFmtId="0" fontId="37" fillId="12" borderId="52" xfId="2" applyFont="1" applyFill="1" applyBorder="1" applyAlignment="1" applyProtection="1">
      <alignment horizontal="left"/>
      <protection hidden="1"/>
    </xf>
    <xf numFmtId="0" fontId="37" fillId="12" borderId="62" xfId="2" applyFont="1" applyFill="1" applyBorder="1" applyAlignment="1" applyProtection="1">
      <alignment horizontal="left"/>
      <protection hidden="1"/>
    </xf>
    <xf numFmtId="0" fontId="13" fillId="0" borderId="57" xfId="2" applyBorder="1" applyAlignment="1">
      <alignment horizontal="center" vertical="center" textRotation="90" shrinkToFit="1"/>
    </xf>
    <xf numFmtId="0" fontId="13" fillId="0" borderId="58" xfId="2" applyBorder="1" applyAlignment="1">
      <alignment horizontal="center" vertical="center" textRotation="90" shrinkToFit="1"/>
    </xf>
    <xf numFmtId="0" fontId="13" fillId="0" borderId="59" xfId="2" applyBorder="1" applyAlignment="1">
      <alignment horizontal="center" vertical="center" textRotation="90" shrinkToFit="1"/>
    </xf>
    <xf numFmtId="0" fontId="13" fillId="0" borderId="60" xfId="2" applyBorder="1" applyAlignment="1">
      <alignment horizontal="center" vertical="center" textRotation="90" shrinkToFit="1"/>
    </xf>
    <xf numFmtId="0" fontId="12" fillId="0" borderId="63" xfId="0" applyFont="1" applyBorder="1" applyAlignment="1" applyProtection="1">
      <alignment horizontal="center"/>
      <protection hidden="1"/>
    </xf>
    <xf numFmtId="0" fontId="12" fillId="0" borderId="64" xfId="0" applyFont="1" applyBorder="1" applyAlignment="1" applyProtection="1">
      <alignment horizontal="center"/>
      <protection hidden="1"/>
    </xf>
    <xf numFmtId="0" fontId="37" fillId="12" borderId="53" xfId="2" applyFont="1" applyFill="1" applyBorder="1" applyAlignment="1" applyProtection="1">
      <alignment horizontal="left"/>
      <protection hidden="1"/>
    </xf>
    <xf numFmtId="0" fontId="37" fillId="12" borderId="0" xfId="2" applyFont="1" applyFill="1" applyBorder="1" applyAlignment="1" applyProtection="1">
      <alignment horizontal="left"/>
      <protection hidden="1"/>
    </xf>
    <xf numFmtId="0" fontId="37" fillId="12" borderId="63" xfId="2" applyFont="1" applyFill="1" applyBorder="1" applyAlignment="1" applyProtection="1">
      <alignment horizontal="left"/>
      <protection hidden="1"/>
    </xf>
    <xf numFmtId="0" fontId="37" fillId="12" borderId="53" xfId="2" applyFont="1" applyFill="1" applyBorder="1" applyAlignment="1">
      <alignment horizontal="left"/>
    </xf>
    <xf numFmtId="0" fontId="37" fillId="12" borderId="0" xfId="2" applyFont="1" applyFill="1" applyBorder="1" applyAlignment="1">
      <alignment horizontal="left"/>
    </xf>
    <xf numFmtId="0" fontId="37" fillId="12" borderId="63" xfId="2" applyFont="1" applyFill="1" applyBorder="1" applyAlignment="1">
      <alignment horizontal="left"/>
    </xf>
    <xf numFmtId="0" fontId="13" fillId="0" borderId="61" xfId="2" applyBorder="1" applyAlignment="1">
      <alignment horizontal="center" vertical="center" textRotation="90" shrinkToFit="1"/>
    </xf>
    <xf numFmtId="0" fontId="12" fillId="0" borderId="63" xfId="0" applyFont="1" applyBorder="1" applyAlignment="1">
      <alignment horizontal="center"/>
    </xf>
    <xf numFmtId="0" fontId="12" fillId="0" borderId="64" xfId="0" applyFont="1" applyBorder="1" applyAlignment="1">
      <alignment horizontal="center"/>
    </xf>
    <xf numFmtId="0" fontId="11" fillId="2" borderId="51" xfId="0" applyFont="1" applyFill="1" applyBorder="1" applyAlignment="1">
      <alignment horizontal="center" shrinkToFit="1"/>
    </xf>
    <xf numFmtId="0" fontId="11" fillId="2" borderId="52" xfId="0" applyFont="1" applyFill="1" applyBorder="1" applyAlignment="1">
      <alignment horizontal="center" shrinkToFit="1"/>
    </xf>
    <xf numFmtId="0" fontId="1" fillId="0" borderId="0" xfId="0" applyFont="1" applyAlignment="1">
      <alignment horizontal="right" vertical="center" wrapText="1"/>
    </xf>
    <xf numFmtId="2" fontId="0" fillId="0" borderId="0" xfId="0" applyNumberFormat="1" applyAlignment="1" applyProtection="1">
      <alignment horizontal="left" vertical="center"/>
      <protection hidden="1"/>
    </xf>
    <xf numFmtId="190" fontId="0" fillId="0" borderId="9" xfId="0" applyNumberFormat="1" applyBorder="1" applyAlignment="1" applyProtection="1">
      <alignment horizontal="center"/>
      <protection hidden="1"/>
    </xf>
    <xf numFmtId="0" fontId="0" fillId="0" borderId="0" xfId="0" applyAlignment="1" applyProtection="1">
      <alignment horizontal="justify" vertical="top" wrapText="1"/>
      <protection hidden="1"/>
    </xf>
    <xf numFmtId="185" fontId="0" fillId="0" borderId="0" xfId="0" applyNumberFormat="1" applyAlignment="1">
      <alignment horizontal="right" vertical="center"/>
    </xf>
    <xf numFmtId="0" fontId="3" fillId="0" borderId="0" xfId="0" applyFont="1" applyAlignment="1">
      <alignment horizontal="center" wrapText="1"/>
    </xf>
    <xf numFmtId="0" fontId="0" fillId="0" borderId="0" xfId="0" applyAlignment="1" applyProtection="1">
      <alignment horizontal="left" wrapText="1"/>
      <protection hidden="1"/>
    </xf>
    <xf numFmtId="185" fontId="6" fillId="0" borderId="0" xfId="0" applyNumberFormat="1" applyFont="1" applyAlignment="1" applyProtection="1">
      <alignment horizontal="left" vertical="top"/>
      <protection hidden="1"/>
    </xf>
    <xf numFmtId="0" fontId="0" fillId="0" borderId="0" xfId="0" applyAlignment="1" applyProtection="1">
      <alignment horizontal="center" vertical="top"/>
      <protection hidden="1"/>
    </xf>
    <xf numFmtId="190" fontId="0" fillId="0" borderId="0" xfId="0" applyNumberFormat="1" applyAlignment="1" applyProtection="1">
      <alignment horizontal="left" vertical="top"/>
      <protection hidden="1"/>
    </xf>
    <xf numFmtId="185" fontId="0" fillId="0" borderId="7" xfId="0" applyNumberFormat="1" applyBorder="1" applyAlignment="1" applyProtection="1">
      <alignment horizontal="center"/>
      <protection hidden="1"/>
    </xf>
    <xf numFmtId="191" fontId="0" fillId="0" borderId="0" xfId="0" applyNumberFormat="1" applyAlignment="1" applyProtection="1">
      <alignment horizontal="left" vertical="center" shrinkToFit="1"/>
      <protection hidden="1"/>
    </xf>
    <xf numFmtId="189" fontId="0" fillId="0" borderId="0" xfId="0" applyNumberFormat="1" applyAlignment="1">
      <alignment horizontal="center" vertical="center"/>
    </xf>
    <xf numFmtId="0" fontId="0" fillId="0" borderId="0" xfId="0" applyAlignment="1">
      <alignment horizontal="right" vertical="center"/>
    </xf>
    <xf numFmtId="185" fontId="0" fillId="0" borderId="0" xfId="0" applyNumberFormat="1" applyAlignment="1">
      <alignment horizontal="center" vertical="center"/>
    </xf>
    <xf numFmtId="0" fontId="0" fillId="0" borderId="0" xfId="0" applyAlignment="1">
      <alignment horizontal="center" vertical="center"/>
    </xf>
    <xf numFmtId="193" fontId="0" fillId="0" borderId="0" xfId="0" applyNumberFormat="1" applyAlignment="1" applyProtection="1">
      <alignment horizontal="right" vertical="center" indent="1" shrinkToFit="1"/>
      <protection hidden="1"/>
    </xf>
    <xf numFmtId="185" fontId="6" fillId="0" borderId="0" xfId="0" applyNumberFormat="1" applyFont="1" applyAlignment="1" applyProtection="1">
      <alignment horizontal="right" vertical="center" shrinkToFit="1"/>
      <protection hidden="1"/>
    </xf>
    <xf numFmtId="0" fontId="0" fillId="0" borderId="27" xfId="0" applyBorder="1" applyAlignment="1" applyProtection="1">
      <alignment horizontal="left" vertical="center" shrinkToFit="1"/>
      <protection hidden="1"/>
    </xf>
    <xf numFmtId="0" fontId="1" fillId="0" borderId="27" xfId="0" applyFont="1" applyBorder="1" applyAlignment="1" applyProtection="1">
      <alignment horizontal="left" vertical="center" shrinkToFit="1"/>
      <protection hidden="1"/>
    </xf>
    <xf numFmtId="0" fontId="34" fillId="0" borderId="27" xfId="0" applyFont="1" applyBorder="1" applyAlignment="1" applyProtection="1">
      <alignment horizontal="right" vertical="top" shrinkToFit="1"/>
      <protection hidden="1"/>
    </xf>
    <xf numFmtId="0" fontId="0" fillId="0" borderId="0" xfId="0" applyAlignment="1">
      <alignment horizontal="center"/>
    </xf>
    <xf numFmtId="180" fontId="6" fillId="0" borderId="7" xfId="0" applyNumberFormat="1" applyFont="1" applyBorder="1" applyAlignment="1" applyProtection="1">
      <alignment horizontal="center"/>
      <protection hidden="1"/>
    </xf>
    <xf numFmtId="192" fontId="0" fillId="0" borderId="0" xfId="0" applyNumberFormat="1" applyAlignment="1" applyProtection="1">
      <alignment horizontal="center" vertical="center" shrinkToFit="1"/>
      <protection hidden="1"/>
    </xf>
    <xf numFmtId="194" fontId="6" fillId="0" borderId="0" xfId="0" applyNumberFormat="1" applyFont="1" applyAlignment="1" applyProtection="1">
      <alignment horizontal="left" vertical="center" shrinkToFit="1"/>
      <protection hidden="1"/>
    </xf>
    <xf numFmtId="198" fontId="0" fillId="0" borderId="0" xfId="0" applyNumberFormat="1" applyAlignment="1" applyProtection="1">
      <alignment horizontal="left" vertical="center"/>
      <protection hidden="1"/>
    </xf>
    <xf numFmtId="181" fontId="6" fillId="0" borderId="0" xfId="0" applyNumberFormat="1" applyFont="1" applyAlignment="1" applyProtection="1">
      <alignment horizontal="center" vertical="top"/>
      <protection hidden="1"/>
    </xf>
    <xf numFmtId="189" fontId="0" fillId="0" borderId="0" xfId="0" applyNumberFormat="1" applyAlignment="1" applyProtection="1">
      <alignment horizontal="left" vertical="center"/>
      <protection hidden="1"/>
    </xf>
    <xf numFmtId="185" fontId="14" fillId="0" borderId="0" xfId="0" applyNumberFormat="1" applyFont="1" applyAlignment="1" applyProtection="1">
      <alignment horizontal="left" vertical="top"/>
      <protection hidden="1"/>
    </xf>
    <xf numFmtId="185" fontId="0" fillId="0" borderId="7" xfId="0" applyNumberFormat="1" applyBorder="1" applyAlignment="1" applyProtection="1">
      <alignment horizontal="center" shrinkToFit="1"/>
      <protection hidden="1"/>
    </xf>
    <xf numFmtId="191" fontId="0" fillId="0" borderId="0" xfId="0" applyNumberFormat="1" applyAlignment="1" applyProtection="1">
      <alignment horizontal="left" vertical="center" indent="1" shrinkToFit="1"/>
      <protection hidden="1"/>
    </xf>
    <xf numFmtId="189" fontId="0" fillId="0" borderId="0" xfId="0" applyNumberFormat="1" applyAlignment="1" applyProtection="1">
      <alignment horizontal="center" vertical="center"/>
      <protection hidden="1"/>
    </xf>
    <xf numFmtId="0" fontId="0" fillId="0" borderId="0" xfId="0" applyAlignment="1" applyProtection="1">
      <alignment horizontal="right" vertical="center"/>
      <protection hidden="1"/>
    </xf>
    <xf numFmtId="193" fontId="1" fillId="0" borderId="0" xfId="0" applyNumberFormat="1" applyFont="1" applyAlignment="1" applyProtection="1">
      <alignment horizontal="right" vertical="center" indent="1" shrinkToFit="1"/>
      <protection hidden="1"/>
    </xf>
    <xf numFmtId="0" fontId="31" fillId="0" borderId="0" xfId="0" applyFont="1" applyAlignment="1">
      <alignment horizontal="right" vertical="center"/>
    </xf>
    <xf numFmtId="0" fontId="30" fillId="0" borderId="0" xfId="0" applyFont="1" applyAlignment="1" applyProtection="1">
      <alignment horizontal="justify" vertical="center" wrapText="1"/>
      <protection hidden="1"/>
    </xf>
    <xf numFmtId="194" fontId="14" fillId="0" borderId="0" xfId="0" applyNumberFormat="1" applyFont="1" applyAlignment="1" applyProtection="1">
      <alignment horizontal="left" vertical="center"/>
      <protection hidden="1"/>
    </xf>
    <xf numFmtId="0" fontId="6" fillId="5" borderId="5" xfId="0" applyFont="1" applyFill="1" applyBorder="1" applyAlignment="1" applyProtection="1">
      <alignment horizontal="justify" vertical="top" wrapText="1"/>
      <protection hidden="1"/>
    </xf>
    <xf numFmtId="197" fontId="9" fillId="2" borderId="0" xfId="0" applyNumberFormat="1" applyFont="1" applyFill="1" applyAlignment="1" applyProtection="1">
      <alignment horizontal="center" vertical="center" shrinkToFit="1"/>
      <protection hidden="1"/>
    </xf>
    <xf numFmtId="0" fontId="0" fillId="0" borderId="0" xfId="0" applyAlignment="1" applyProtection="1">
      <alignment horizontal="left" wrapText="1" indent="2"/>
      <protection hidden="1"/>
    </xf>
    <xf numFmtId="176" fontId="9" fillId="2" borderId="0" xfId="0" applyNumberFormat="1" applyFont="1" applyFill="1" applyAlignment="1" applyProtection="1">
      <alignment horizontal="center" vertical="center" shrinkToFit="1"/>
      <protection hidden="1"/>
    </xf>
    <xf numFmtId="0" fontId="54" fillId="0" borderId="0" xfId="0" quotePrefix="1" applyFont="1" applyAlignment="1">
      <alignment horizontal="center" vertical="top" wrapText="1" shrinkToFit="1"/>
    </xf>
    <xf numFmtId="0" fontId="54" fillId="0" borderId="0" xfId="0" applyFont="1" applyAlignment="1">
      <alignment horizontal="center" vertical="top" wrapText="1" shrinkToFit="1"/>
    </xf>
    <xf numFmtId="164" fontId="6" fillId="0" borderId="0" xfId="0" applyNumberFormat="1" applyFont="1" applyAlignment="1" applyProtection="1">
      <alignment horizontal="left" vertical="center" wrapText="1"/>
      <protection hidden="1"/>
    </xf>
    <xf numFmtId="0" fontId="0" fillId="0" borderId="0" xfId="0" applyAlignment="1" applyProtection="1">
      <alignment horizontal="left" vertical="top" wrapText="1"/>
      <protection hidden="1"/>
    </xf>
    <xf numFmtId="0" fontId="14" fillId="0" borderId="0" xfId="0" applyFont="1" applyAlignment="1" applyProtection="1">
      <alignment horizontal="right" indent="2" shrinkToFit="1"/>
      <protection hidden="1"/>
    </xf>
    <xf numFmtId="0" fontId="14" fillId="0" borderId="0" xfId="0" applyFont="1" applyAlignment="1" applyProtection="1">
      <alignment horizontal="right" vertical="top" indent="2" shrinkToFit="1"/>
      <protection hidden="1"/>
    </xf>
    <xf numFmtId="0" fontId="0" fillId="0" borderId="0" xfId="0" applyAlignment="1">
      <alignment horizontal="justify" vertical="top" wrapText="1"/>
    </xf>
    <xf numFmtId="0" fontId="14" fillId="0" borderId="0" xfId="0" applyFont="1" applyAlignment="1" applyProtection="1">
      <alignment horizontal="right" vertical="top" indent="2"/>
      <protection hidden="1"/>
    </xf>
    <xf numFmtId="164" fontId="14" fillId="0" borderId="0" xfId="0" applyNumberFormat="1" applyFont="1" applyAlignment="1" applyProtection="1">
      <alignment horizontal="right" vertical="center" indent="2"/>
      <protection hidden="1"/>
    </xf>
    <xf numFmtId="164" fontId="14" fillId="0" borderId="0" xfId="0" applyNumberFormat="1" applyFont="1" applyAlignment="1" applyProtection="1">
      <alignment horizontal="right" vertical="top" wrapText="1" indent="2"/>
      <protection hidden="1"/>
    </xf>
    <xf numFmtId="0" fontId="0" fillId="0" borderId="0" xfId="0" applyAlignment="1">
      <alignment horizontal="left" vertical="center"/>
    </xf>
    <xf numFmtId="185" fontId="6" fillId="0" borderId="0" xfId="0" applyNumberFormat="1" applyFont="1" applyAlignment="1" applyProtection="1">
      <alignment horizontal="center" vertical="center" shrinkToFit="1"/>
      <protection hidden="1"/>
    </xf>
    <xf numFmtId="182" fontId="0" fillId="0" borderId="0" xfId="0" applyNumberFormat="1" applyAlignment="1" applyProtection="1">
      <alignment horizontal="left" vertical="center"/>
      <protection hidden="1"/>
    </xf>
    <xf numFmtId="185" fontId="6" fillId="0" borderId="0" xfId="0" applyNumberFormat="1" applyFont="1" applyAlignment="1" applyProtection="1">
      <alignment horizontal="center" vertical="center"/>
      <protection hidden="1"/>
    </xf>
    <xf numFmtId="185" fontId="0" fillId="0" borderId="7" xfId="0" applyNumberFormat="1" applyBorder="1" applyAlignment="1" applyProtection="1">
      <alignment horizontal="center" vertical="center" shrinkToFit="1"/>
      <protection hidden="1"/>
    </xf>
    <xf numFmtId="0" fontId="0" fillId="0" borderId="0" xfId="0" applyAlignment="1">
      <alignment horizontal="center" vertical="top"/>
    </xf>
    <xf numFmtId="196" fontId="0" fillId="0" borderId="0" xfId="0" applyNumberFormat="1" applyAlignment="1" applyProtection="1">
      <alignment horizontal="left" vertical="center"/>
      <protection hidden="1"/>
    </xf>
    <xf numFmtId="185" fontId="14" fillId="0" borderId="0" xfId="0" applyNumberFormat="1" applyFont="1" applyAlignment="1" applyProtection="1">
      <alignment horizontal="center" vertical="center" shrinkToFit="1"/>
      <protection hidden="1"/>
    </xf>
    <xf numFmtId="179" fontId="0" fillId="0" borderId="0" xfId="0" applyNumberFormat="1" applyAlignment="1" applyProtection="1">
      <alignment horizontal="left" vertical="top"/>
      <protection hidden="1"/>
    </xf>
    <xf numFmtId="0" fontId="0" fillId="0" borderId="0" xfId="0" applyAlignment="1" applyProtection="1">
      <alignment horizontal="justify" wrapText="1"/>
      <protection hidden="1"/>
    </xf>
    <xf numFmtId="185" fontId="0" fillId="0" borderId="0" xfId="0" applyNumberFormat="1" applyAlignment="1" applyProtection="1">
      <alignment horizontal="left" vertical="center" indent="1"/>
      <protection hidden="1"/>
    </xf>
    <xf numFmtId="0" fontId="0" fillId="0" borderId="0" xfId="0" applyAlignment="1" applyProtection="1">
      <alignment horizontal="left" vertical="center" wrapText="1"/>
      <protection hidden="1"/>
    </xf>
    <xf numFmtId="188" fontId="0" fillId="0" borderId="0" xfId="0" applyNumberFormat="1" applyAlignment="1" applyProtection="1">
      <alignment horizontal="left" vertical="center" indent="1"/>
      <protection hidden="1"/>
    </xf>
    <xf numFmtId="0" fontId="14" fillId="0" borderId="0" xfId="0" applyFont="1" applyAlignment="1" applyProtection="1">
      <alignment horizontal="right" indent="2"/>
      <protection hidden="1"/>
    </xf>
    <xf numFmtId="194" fontId="14" fillId="0" borderId="0" xfId="0" applyNumberFormat="1" applyFont="1" applyAlignment="1" applyProtection="1">
      <alignment horizontal="left" vertical="center" shrinkToFit="1"/>
      <protection hidden="1"/>
    </xf>
    <xf numFmtId="189" fontId="1" fillId="0" borderId="0" xfId="0" applyNumberFormat="1" applyFont="1" applyAlignment="1" applyProtection="1">
      <alignment horizontal="left" vertical="center"/>
      <protection hidden="1"/>
    </xf>
    <xf numFmtId="0" fontId="1" fillId="0" borderId="0" xfId="0" applyFont="1" applyAlignment="1" applyProtection="1">
      <alignment horizontal="justify" vertical="top" wrapText="1"/>
      <protection hidden="1"/>
    </xf>
    <xf numFmtId="0" fontId="42" fillId="0" borderId="73" xfId="0" applyFont="1" applyBorder="1" applyAlignment="1">
      <alignment horizontal="center" vertical="center"/>
    </xf>
    <xf numFmtId="0" fontId="42" fillId="0" borderId="0" xfId="0" applyFont="1" applyAlignment="1">
      <alignment horizontal="center" vertical="center"/>
    </xf>
    <xf numFmtId="0" fontId="56" fillId="11" borderId="65" xfId="0" applyFont="1" applyFill="1" applyBorder="1" applyAlignment="1">
      <alignment horizontal="center" vertical="center"/>
    </xf>
    <xf numFmtId="0" fontId="4" fillId="12" borderId="11" xfId="0" applyFont="1" applyFill="1" applyBorder="1" applyAlignment="1">
      <alignment horizontal="center" vertical="center"/>
    </xf>
    <xf numFmtId="0" fontId="4" fillId="12" borderId="0" xfId="0" applyFont="1" applyFill="1" applyAlignment="1">
      <alignment horizontal="center" vertical="center"/>
    </xf>
    <xf numFmtId="0" fontId="11" fillId="5" borderId="0" xfId="0" quotePrefix="1" applyFont="1" applyFill="1" applyAlignment="1" applyProtection="1">
      <alignment horizontal="left" vertical="center" wrapText="1" shrinkToFit="1"/>
      <protection hidden="1"/>
    </xf>
    <xf numFmtId="0" fontId="0" fillId="0" borderId="68" xfId="0" applyBorder="1" applyAlignment="1">
      <alignment horizontal="center" wrapText="1"/>
    </xf>
    <xf numFmtId="0" fontId="0" fillId="0" borderId="0" xfId="0" applyAlignment="1">
      <alignment horizontal="center" wrapText="1"/>
    </xf>
    <xf numFmtId="0" fontId="51" fillId="5" borderId="68" xfId="0" applyFont="1" applyFill="1" applyBorder="1" applyAlignment="1" applyProtection="1">
      <alignment horizontal="center" vertical="center" shrinkToFit="1"/>
      <protection locked="0"/>
    </xf>
    <xf numFmtId="0" fontId="51" fillId="5" borderId="0" xfId="0" applyFont="1" applyFill="1" applyAlignment="1" applyProtection="1">
      <alignment horizontal="center" vertical="center" shrinkToFit="1"/>
      <protection locked="0"/>
    </xf>
    <xf numFmtId="0" fontId="4" fillId="11" borderId="68" xfId="0" applyFont="1" applyFill="1" applyBorder="1" applyAlignment="1" applyProtection="1">
      <alignment horizontal="left" vertical="center" wrapText="1" shrinkToFit="1"/>
      <protection locked="0"/>
    </xf>
    <xf numFmtId="0" fontId="4" fillId="11" borderId="0" xfId="0" applyFont="1" applyFill="1" applyAlignment="1" applyProtection="1">
      <alignment horizontal="left" vertical="center" wrapText="1" shrinkToFit="1"/>
      <protection locked="0"/>
    </xf>
    <xf numFmtId="0" fontId="55" fillId="5" borderId="66" xfId="0" applyFont="1" applyFill="1" applyBorder="1" applyAlignment="1">
      <alignment horizontal="right" vertical="center" wrapText="1" indent="1" shrinkToFit="1"/>
    </xf>
    <xf numFmtId="0" fontId="55" fillId="5" borderId="67" xfId="0" applyFont="1" applyFill="1" applyBorder="1" applyAlignment="1">
      <alignment horizontal="right" vertical="center" wrapText="1" indent="1" shrinkToFit="1"/>
    </xf>
    <xf numFmtId="195" fontId="52" fillId="5" borderId="66" xfId="0" quotePrefix="1" applyNumberFormat="1" applyFont="1" applyFill="1" applyBorder="1" applyAlignment="1">
      <alignment horizontal="left" vertical="center" indent="1" shrinkToFit="1"/>
    </xf>
    <xf numFmtId="195" fontId="52" fillId="5" borderId="69" xfId="0" quotePrefix="1" applyNumberFormat="1" applyFont="1" applyFill="1" applyBorder="1" applyAlignment="1">
      <alignment horizontal="left" vertical="center" indent="1" shrinkToFit="1"/>
    </xf>
    <xf numFmtId="195" fontId="52" fillId="5" borderId="67" xfId="0" quotePrefix="1" applyNumberFormat="1" applyFont="1" applyFill="1" applyBorder="1" applyAlignment="1">
      <alignment horizontal="left" vertical="center" indent="1" shrinkToFit="1"/>
    </xf>
    <xf numFmtId="0" fontId="56" fillId="11" borderId="69" xfId="0" applyFont="1" applyFill="1" applyBorder="1" applyAlignment="1">
      <alignment horizontal="center" vertical="center" shrinkToFit="1"/>
    </xf>
    <xf numFmtId="0" fontId="1" fillId="0" borderId="4" xfId="0" applyFont="1" applyBorder="1" applyAlignment="1">
      <alignment horizontal="center"/>
    </xf>
    <xf numFmtId="0" fontId="1" fillId="0" borderId="5" xfId="0" applyFont="1" applyBorder="1" applyAlignment="1">
      <alignment horizontal="center"/>
    </xf>
    <xf numFmtId="0" fontId="1" fillId="0" borderId="6" xfId="0" applyFont="1" applyBorder="1" applyAlignment="1">
      <alignment horizontal="center"/>
    </xf>
    <xf numFmtId="0" fontId="1" fillId="10" borderId="0" xfId="0" applyFont="1" applyFill="1" applyAlignment="1">
      <alignment horizontal="center"/>
    </xf>
    <xf numFmtId="0" fontId="42" fillId="8" borderId="0" xfId="0" applyFont="1" applyFill="1" applyAlignment="1">
      <alignment horizontal="center" vertical="center" shrinkToFit="1"/>
    </xf>
    <xf numFmtId="0" fontId="0" fillId="0" borderId="0" xfId="0" applyAlignment="1">
      <alignment horizontal="left" vertical="top" wrapText="1"/>
    </xf>
    <xf numFmtId="0" fontId="11" fillId="0" borderId="71" xfId="0" applyFont="1" applyBorder="1" applyAlignment="1">
      <alignment horizontal="center" vertical="top" wrapText="1"/>
    </xf>
    <xf numFmtId="170" fontId="1" fillId="3" borderId="36" xfId="0" applyNumberFormat="1" applyFont="1" applyFill="1" applyBorder="1" applyAlignment="1">
      <alignment horizontal="center" vertical="center"/>
    </xf>
    <xf numFmtId="170" fontId="1" fillId="3" borderId="37" xfId="0" applyNumberFormat="1" applyFont="1" applyFill="1" applyBorder="1" applyAlignment="1">
      <alignment horizontal="center" vertical="center"/>
    </xf>
    <xf numFmtId="170" fontId="1" fillId="3" borderId="38" xfId="0" applyNumberFormat="1" applyFont="1" applyFill="1" applyBorder="1" applyAlignment="1">
      <alignment horizontal="center" vertical="center"/>
    </xf>
  </cellXfs>
  <cellStyles count="4">
    <cellStyle name="Hipervínculo" xfId="2" builtinId="8"/>
    <cellStyle name="Normal" xfId="0" builtinId="0"/>
    <cellStyle name="Normal 2" xfId="1" xr:uid="{00000000-0005-0000-0000-000001000000}"/>
    <cellStyle name="Porcentaje" xfId="3" builtinId="5"/>
  </cellStyles>
  <dxfs count="176">
    <dxf>
      <font>
        <color rgb="FF9C0006"/>
      </font>
      <fill>
        <patternFill>
          <bgColor rgb="FFFFC7CE"/>
        </patternFill>
      </fill>
    </dxf>
    <dxf>
      <font>
        <color rgb="FF9C0006"/>
      </font>
      <fill>
        <patternFill>
          <bgColor rgb="FFFFC7CE"/>
        </patternFill>
      </fill>
    </dxf>
    <dxf>
      <font>
        <b/>
        <i val="0"/>
        <strike val="0"/>
        <color rgb="FFFF0000"/>
      </font>
      <fill>
        <patternFill>
          <bgColor rgb="FFFFFF00"/>
        </patternFill>
      </fill>
    </dxf>
    <dxf>
      <font>
        <strike val="0"/>
        <color rgb="FFFF0000"/>
      </font>
      <fill>
        <patternFill>
          <bgColor rgb="FFFFFF00"/>
        </patternFill>
      </fill>
    </dxf>
    <dxf>
      <font>
        <b/>
        <i val="0"/>
        <strike/>
        <color rgb="FFFF0000"/>
      </font>
    </dxf>
    <dxf>
      <font>
        <color rgb="FF9C0006"/>
      </font>
      <fill>
        <patternFill>
          <bgColor rgb="FFFFC7CE"/>
        </patternFill>
      </fill>
    </dxf>
    <dxf>
      <border>
        <left/>
        <right/>
        <top/>
        <bottom/>
        <vertical/>
        <horizontal/>
      </border>
    </dxf>
    <dxf>
      <font>
        <color theme="0"/>
      </font>
      <fill>
        <patternFill>
          <bgColor theme="0"/>
        </patternFill>
      </fill>
    </dxf>
    <dxf>
      <font>
        <color theme="0"/>
      </font>
    </dxf>
    <dxf>
      <border>
        <left/>
        <right/>
        <top/>
        <bottom/>
        <vertical/>
        <horizontal/>
      </border>
    </dxf>
    <dxf>
      <font>
        <color theme="0"/>
      </font>
      <fill>
        <patternFill>
          <bgColor theme="0"/>
        </patternFill>
      </fill>
    </dxf>
    <dxf>
      <font>
        <b/>
        <i val="0"/>
        <strike val="0"/>
        <color rgb="FFFF0000"/>
      </font>
    </dxf>
    <dxf>
      <font>
        <strike val="0"/>
      </font>
      <fill>
        <patternFill>
          <bgColor theme="0"/>
        </patternFill>
      </fill>
    </dxf>
    <dxf>
      <font>
        <strike val="0"/>
        <color theme="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theme="4" tint="-0.24994659260841701"/>
      </font>
      <fill>
        <patternFill>
          <bgColor theme="0" tint="-0.14996795556505021"/>
        </patternFill>
      </fill>
    </dxf>
    <dxf>
      <font>
        <b/>
        <i val="0"/>
        <color theme="4" tint="-0.24994659260841701"/>
      </font>
      <fill>
        <patternFill>
          <bgColor theme="0" tint="-0.14996795556505021"/>
        </patternFill>
      </fill>
    </dxf>
    <dxf>
      <font>
        <b/>
        <i val="0"/>
        <color rgb="FFFF0000"/>
      </font>
      <fill>
        <patternFill>
          <bgColor theme="0" tint="-0.14996795556505021"/>
        </patternFill>
      </fill>
    </dxf>
    <dxf>
      <font>
        <b/>
        <i val="0"/>
      </font>
    </dxf>
    <dxf>
      <font>
        <color rgb="FF9C0006"/>
      </font>
      <fill>
        <patternFill>
          <bgColor rgb="FFFFC7CE"/>
        </patternFill>
      </fill>
    </dxf>
    <dxf>
      <fill>
        <patternFill>
          <bgColor rgb="FFFFFF00"/>
        </patternFill>
      </fill>
    </dxf>
    <dxf>
      <font>
        <color theme="0"/>
      </font>
      <fill>
        <patternFill>
          <bgColor theme="0"/>
        </patternFill>
      </fill>
    </dxf>
    <dxf>
      <font>
        <color theme="0"/>
      </font>
      <fill>
        <patternFill>
          <bgColor theme="0"/>
        </patternFill>
      </fill>
    </dxf>
    <dxf>
      <font>
        <color rgb="FF9C0006"/>
      </font>
      <fill>
        <patternFill>
          <bgColor rgb="FFFFC7CE"/>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color theme="0"/>
      </font>
      <fill>
        <patternFill>
          <bgColor theme="0"/>
        </patternFill>
      </fill>
    </dxf>
    <dxf>
      <font>
        <color rgb="FF9C0006"/>
      </font>
      <fill>
        <patternFill>
          <bgColor rgb="FFFFC7CE"/>
        </patternFill>
      </fill>
    </dxf>
    <dxf>
      <font>
        <b/>
        <i val="0"/>
        <color rgb="FFFF0000"/>
      </font>
    </dxf>
    <dxf>
      <font>
        <color theme="0"/>
      </font>
      <border>
        <left/>
        <right/>
        <top/>
        <bottom/>
      </border>
    </dxf>
    <dxf>
      <font>
        <color rgb="FF9C0006"/>
      </font>
      <fill>
        <patternFill>
          <bgColor rgb="FFFFC7CE"/>
        </patternFill>
      </fill>
    </dxf>
    <dxf>
      <font>
        <b/>
        <i val="0"/>
        <color auto="1"/>
      </font>
      <fill>
        <patternFill patternType="none">
          <bgColor auto="1"/>
        </patternFill>
      </fill>
    </dxf>
    <dxf>
      <font>
        <color theme="0"/>
      </font>
      <border>
        <left/>
        <right/>
        <top/>
        <bottom/>
      </border>
    </dxf>
    <dxf>
      <font>
        <color theme="0"/>
      </font>
      <border>
        <left/>
        <right/>
        <top/>
        <bottom/>
      </border>
    </dxf>
    <dxf>
      <font>
        <b/>
        <i val="0"/>
      </font>
    </dxf>
    <dxf>
      <font>
        <b/>
        <i val="0"/>
      </font>
    </dxf>
    <dxf>
      <font>
        <b/>
        <i val="0"/>
        <color theme="0"/>
      </font>
      <fill>
        <patternFill>
          <fgColor theme="0"/>
          <bgColor theme="0"/>
        </patternFill>
      </fill>
    </dxf>
    <dxf>
      <font>
        <strike val="0"/>
        <color theme="0"/>
      </font>
    </dxf>
    <dxf>
      <font>
        <b/>
        <i val="0"/>
        <strike val="0"/>
        <color rgb="FFFF0000"/>
      </font>
      <fill>
        <patternFill patternType="none">
          <bgColor auto="1"/>
        </patternFill>
      </fill>
    </dxf>
    <dxf>
      <font>
        <b/>
        <i val="0"/>
        <strike val="0"/>
        <color rgb="FFFF0000"/>
      </font>
      <fill>
        <patternFill patternType="none">
          <bgColor auto="1"/>
        </patternFill>
      </fill>
    </dxf>
    <dxf>
      <font>
        <color theme="0"/>
      </font>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vertical/>
        <horizontal/>
      </border>
    </dxf>
    <dxf>
      <font>
        <b/>
        <i val="0"/>
      </font>
    </dxf>
    <dxf>
      <font>
        <color theme="0"/>
      </font>
      <border>
        <left/>
        <right/>
        <top/>
        <bottom/>
        <vertical/>
        <horizontal/>
      </border>
    </dxf>
    <dxf>
      <font>
        <color theme="0"/>
      </font>
      <border>
        <left/>
        <right/>
        <top/>
        <bottom/>
      </border>
    </dxf>
    <dxf>
      <font>
        <color theme="0"/>
      </font>
      <border>
        <left/>
        <right/>
        <top/>
        <bottom/>
      </border>
    </dxf>
    <dxf>
      <font>
        <color theme="0"/>
      </font>
      <border>
        <left/>
        <right/>
        <top/>
        <bottom/>
        <vertical/>
        <horizontal/>
      </border>
    </dxf>
    <dxf>
      <font>
        <strike val="0"/>
        <color theme="0"/>
      </font>
      <border>
        <left/>
        <right/>
        <top/>
        <bottom/>
      </border>
    </dxf>
    <dxf>
      <font>
        <color theme="0"/>
      </font>
      <border>
        <left/>
        <right/>
        <top/>
        <bottom/>
        <vertical/>
        <horizontal/>
      </border>
    </dxf>
    <dxf>
      <font>
        <color theme="0"/>
      </font>
      <border>
        <left/>
        <right/>
        <top/>
        <bottom/>
      </border>
    </dxf>
    <dxf>
      <font>
        <b/>
        <i val="0"/>
      </font>
    </dxf>
    <dxf>
      <font>
        <strike val="0"/>
        <color theme="0"/>
      </font>
      <border>
        <left/>
        <right/>
        <top/>
        <bottom/>
        <vertical/>
        <horizontal/>
      </border>
    </dxf>
    <dxf>
      <font>
        <strike val="0"/>
        <color theme="0"/>
      </font>
      <border>
        <left/>
        <right/>
        <top/>
        <bottom/>
      </border>
    </dxf>
    <dxf>
      <font>
        <color theme="0"/>
      </font>
      <border>
        <left/>
        <right/>
        <top/>
        <bottom/>
        <vertical/>
        <horizontal/>
      </border>
    </dxf>
    <dxf>
      <numFmt numFmtId="2" formatCode="0.00"/>
      <alignment horizontal="center" vertical="bottom" textRotation="0" wrapText="0" indent="0" justifyLastLine="0" shrinkToFit="0" readingOrder="0"/>
      <border diagonalUp="0" diagonalDown="0">
        <left style="thin">
          <color indexed="64"/>
        </left>
        <right style="medium">
          <color indexed="64"/>
        </right>
        <top style="thin">
          <color indexed="64"/>
        </top>
        <bottom style="thin">
          <color indexed="64"/>
        </bottom>
        <vertical/>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numFmt numFmtId="2" formatCode="0.00"/>
      <alignment horizontal="center"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dxf>
    <dxf>
      <alignment horizontal="center" vertical="bottom" textRotation="0" wrapText="0" indent="0" justifyLastLine="0" shrinkToFit="0" readingOrder="0"/>
      <border diagonalUp="0" diagonalDown="0">
        <left/>
        <right style="medium">
          <color indexed="64"/>
        </right>
        <top style="thin">
          <color indexed="64"/>
        </top>
        <bottom style="thin">
          <color indexed="64"/>
        </bottom>
        <vertical/>
        <horizontal/>
      </border>
    </dxf>
    <dxf>
      <border outline="0">
        <left style="medium">
          <color indexed="64"/>
        </left>
        <right style="medium">
          <color indexed="64"/>
        </right>
        <top style="thin">
          <color indexed="64"/>
        </top>
        <bottom style="medium">
          <color indexed="64"/>
        </bottom>
      </border>
    </dxf>
    <dxf>
      <border outline="0">
        <bottom style="thin">
          <color indexed="64"/>
        </bottom>
      </border>
    </dxf>
    <dxf>
      <font>
        <b val="0"/>
        <i val="0"/>
        <strike val="0"/>
        <condense val="0"/>
        <extend val="0"/>
        <outline val="0"/>
        <shadow val="0"/>
        <u val="none"/>
        <vertAlign val="baseline"/>
        <sz val="8"/>
        <color theme="1"/>
        <name val="Arial"/>
        <family val="2"/>
        <scheme val="none"/>
      </font>
      <fill>
        <patternFill patternType="solid">
          <fgColor indexed="64"/>
          <bgColor theme="0" tint="-0.149998474074526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numFmt numFmtId="0" formatCode="General"/>
      <fill>
        <patternFill patternType="none">
          <fgColor indexed="64"/>
          <bgColor auto="1"/>
        </patternFill>
      </fill>
      <alignment horizontal="general" vertical="top" textRotation="0" wrapText="1" indent="0" justifyLastLine="0" shrinkToFit="0" readingOrder="0"/>
      <protection locked="1" hidden="1"/>
    </dxf>
    <dxf>
      <font>
        <b/>
      </font>
      <numFmt numFmtId="30" formatCode="@"/>
      <fill>
        <patternFill patternType="none">
          <fgColor indexed="64"/>
          <bgColor auto="1"/>
        </patternFill>
      </fill>
      <alignment horizontal="center" vertical="top" textRotation="0" wrapText="0" indent="0" justifyLastLine="0" shrinkToFit="0" readingOrder="0"/>
      <protection locked="0" hidden="1"/>
    </dxf>
    <dxf>
      <font>
        <b/>
      </font>
      <numFmt numFmtId="30" formatCode="@"/>
      <fill>
        <patternFill patternType="none">
          <fgColor indexed="64"/>
          <bgColor auto="1"/>
        </patternFill>
      </fill>
      <alignment horizontal="center" vertical="top" textRotation="0" wrapText="0" indent="0" justifyLastLine="0" shrinkToFit="0" readingOrder="0"/>
      <protection locked="0" hidden="1"/>
    </dxf>
    <dxf>
      <font>
        <b val="0"/>
        <i val="0"/>
        <strike val="0"/>
        <condense val="0"/>
        <extend val="0"/>
        <outline val="0"/>
        <shadow val="0"/>
        <u val="none"/>
        <vertAlign val="baseline"/>
        <sz val="11"/>
        <color theme="1"/>
        <name val="Courier New"/>
        <family val="3"/>
        <scheme val="none"/>
      </font>
      <fill>
        <patternFill patternType="none">
          <fgColor indexed="64"/>
          <bgColor auto="1"/>
        </patternFill>
      </fill>
      <alignment horizontal="general" vertical="top" textRotation="0" wrapText="0" indent="0" justifyLastLine="0" shrinkToFit="0" readingOrder="0"/>
      <protection locked="1" hidden="1"/>
    </dxf>
    <dxf>
      <fill>
        <patternFill patternType="none">
          <fgColor indexed="64"/>
          <bgColor auto="1"/>
        </patternFill>
      </fill>
      <alignment horizontal="general" vertical="top" textRotation="0" wrapText="0" indent="0" justifyLastLine="0" shrinkToFit="0" readingOrder="0"/>
      <protection locked="1" hidden="1"/>
    </dxf>
    <dxf>
      <font>
        <b/>
      </font>
      <fill>
        <patternFill patternType="none">
          <fgColor indexed="64"/>
          <bgColor auto="1"/>
        </patternFill>
      </fill>
      <alignment horizontal="general" vertical="top" textRotation="0" wrapText="0" indent="0" justifyLastLine="0" shrinkToFit="0" readingOrder="0"/>
      <protection locked="1" hidden="1"/>
    </dxf>
    <dxf>
      <font>
        <b/>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5"/>
        </patternFill>
      </fill>
      <alignment horizontal="right" vertical="center" textRotation="0" wrapText="0" indent="0" justifyLastLine="0" shrinkToFit="1"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numFmt numFmtId="3" formatCode="#,##0"/>
      <alignment horizontal="center" vertical="center" textRotation="0" wrapText="0" indent="0" justifyLastLine="0" shrinkToFit="0" readingOrder="0"/>
      <border diagonalUp="0" diagonalDown="0" outline="0">
        <left/>
        <right/>
        <top style="thin">
          <color theme="4" tint="0.39997558519241921"/>
        </top>
        <bottom/>
      </border>
    </dxf>
    <dxf>
      <numFmt numFmtId="3" formatCode="#,##0"/>
      <alignment horizontal="center" vertical="center" textRotation="0" wrapText="0" indent="0" justifyLastLine="0" shrinkToFit="0" readingOrder="0"/>
      <border diagonalUp="0" diagonalDown="0" outline="0">
        <left/>
        <right/>
        <top style="thin">
          <color theme="4" tint="0.39997558519241921"/>
        </top>
        <bottom/>
      </border>
    </dxf>
    <dxf>
      <numFmt numFmtId="4" formatCode="#,##0.00"/>
      <alignment horizontal="center" vertical="center" textRotation="0" wrapText="0" indent="0" justifyLastLine="0" shrinkToFit="0" readingOrder="0"/>
      <border diagonalUp="0" diagonalDown="0" outline="0">
        <left/>
        <right/>
        <top style="thin">
          <color theme="4" tint="0.39997558519241921"/>
        </top>
        <bottom/>
      </border>
    </dxf>
    <dxf>
      <numFmt numFmtId="4" formatCode="#,##0.00"/>
      <alignment horizontal="center" vertical="center" textRotation="0" wrapText="0" indent="0" justifyLastLine="0" shrinkToFit="0" readingOrder="0"/>
      <border diagonalUp="0" diagonalDown="0" outline="0">
        <left/>
        <right/>
        <top style="thin">
          <color theme="4" tint="0.39997558519241921"/>
        </top>
        <bottom/>
      </border>
    </dxf>
    <dxf>
      <numFmt numFmtId="4" formatCode="#,##0.00"/>
      <alignment horizontal="center" vertical="center" textRotation="0" wrapText="0" indent="0" justifyLastLine="0" shrinkToFit="0" readingOrder="0"/>
      <border diagonalUp="0" diagonalDown="0" outline="0">
        <left/>
        <right/>
        <top style="thin">
          <color theme="4" tint="0.39997558519241921"/>
        </top>
        <bottom/>
      </border>
    </dxf>
    <dxf>
      <numFmt numFmtId="4" formatCode="#,##0.00"/>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4"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4"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left/>
        <right/>
        <top style="thin">
          <color theme="4" tint="0.39997558519241921"/>
        </top>
        <bottom/>
        <vertical/>
        <horizontal/>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1"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2" formatCode="0.00"/>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numFmt numFmtId="2" formatCode="0.00"/>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0" formatCode="General"/>
      <fill>
        <patternFill patternType="none">
          <fgColor indexed="64"/>
          <bgColor indexed="65"/>
        </patternFill>
      </fill>
      <alignment horizontal="general" vertical="center" textRotation="0" wrapText="0" indent="0" justifyLastLine="0" shrinkToFit="0" readingOrder="0"/>
      <border diagonalUp="0" diagonalDown="0" outline="0">
        <left style="thin">
          <color theme="4" tint="0.39997558519241921"/>
        </left>
        <right/>
        <top style="thin">
          <color theme="4"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alignment horizontal="general" vertical="center" textRotation="0" wrapText="1" indent="0" justifyLastLine="0" shrinkToFit="0" readingOrder="0"/>
      <border diagonalUp="0" diagonalDown="0">
        <left/>
        <right/>
        <top style="thin">
          <color theme="4" tint="0.39997558519241921"/>
        </top>
        <bottom style="thin">
          <color theme="4" tint="0.39997558519241921"/>
        </bottom>
      </border>
      <protection locked="0" hidden="0"/>
    </dxf>
    <dxf>
      <font>
        <b/>
        <i val="0"/>
        <strike val="0"/>
        <condense val="0"/>
        <extend val="0"/>
        <outline val="0"/>
        <shadow val="0"/>
        <u val="none"/>
        <vertAlign val="baseline"/>
        <sz val="11"/>
        <color theme="0"/>
        <name val="Calibri"/>
        <family val="2"/>
        <scheme val="minor"/>
      </font>
      <numFmt numFmtId="0" formatCode="General"/>
      <fill>
        <patternFill patternType="solid">
          <fgColor indexed="64"/>
          <bgColor theme="5"/>
        </patternFill>
      </fill>
      <alignment horizontal="right" vertical="center" textRotation="0" wrapText="0" indent="0" justifyLastLine="0" shrinkToFit="1" readingOrder="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center" vertical="center" textRotation="0" wrapText="0" indent="0" justifyLastLine="0" shrinkToFit="0" readingOrder="0"/>
    </dxf>
    <dxf>
      <font>
        <b/>
        <i val="0"/>
        <strike val="0"/>
        <condense val="0"/>
        <extend val="0"/>
        <outline val="0"/>
        <shadow val="0"/>
        <u val="none"/>
        <vertAlign val="baseline"/>
        <sz val="11"/>
        <color theme="4" tint="-0.249977111117893"/>
        <name val="Calibri"/>
        <scheme val="minor"/>
      </font>
      <fill>
        <patternFill patternType="solid">
          <fgColor indexed="64"/>
          <bgColor theme="0"/>
        </patternFill>
      </fill>
      <alignment horizontal="center" vertical="top" textRotation="0" wrapText="0" indent="0" justifyLastLine="0" shrinkToFit="0" readingOrder="0"/>
    </dxf>
    <dxf>
      <font>
        <b val="0"/>
        <i val="0"/>
        <strike val="0"/>
        <condense val="0"/>
        <extend val="0"/>
        <outline val="0"/>
        <shadow val="0"/>
        <u val="none"/>
        <vertAlign val="baseline"/>
        <sz val="11"/>
        <color theme="1"/>
        <name val="Calibri"/>
        <family val="2"/>
        <scheme val="minor"/>
      </font>
      <numFmt numFmtId="2" formatCode="0.00"/>
      <fill>
        <patternFill patternType="solid">
          <fgColor theme="4" tint="0.79998168889431442"/>
          <bgColor theme="4" tint="0.79998168889431442"/>
        </patternFill>
      </fill>
      <alignment horizontal="general" vertical="bottom" textRotation="0" wrapText="0" indent="0" justifyLastLine="0" shrinkToFit="1" readingOrder="0"/>
      <border diagonalUp="0" diagonalDown="0">
        <left/>
        <right/>
        <top style="thin">
          <color theme="4" tint="0.39997558519241921"/>
        </top>
        <bottom style="thin">
          <color theme="4" tint="0.39997558519241921"/>
        </bottom>
        <vertical/>
        <horizontal/>
      </border>
      <protection locked="1" hidden="1"/>
    </dxf>
    <dxf>
      <font>
        <b val="0"/>
        <i val="0"/>
        <strike val="0"/>
        <condense val="0"/>
        <extend val="0"/>
        <outline val="0"/>
        <shadow val="0"/>
        <u val="none"/>
        <vertAlign val="baseline"/>
        <sz val="11"/>
        <color theme="1"/>
        <name val="Calibri"/>
        <family val="2"/>
        <scheme val="minor"/>
      </font>
      <numFmt numFmtId="169" formatCode="0.0"/>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protection locked="1" hidden="1"/>
    </dxf>
    <dxf>
      <numFmt numFmtId="0" formatCode="General"/>
      <protection locked="1" hidden="1"/>
    </dxf>
    <dxf>
      <protection locked="1" hidden="1"/>
    </dxf>
    <dxf>
      <font>
        <b val="0"/>
        <i val="0"/>
        <strike val="0"/>
        <condense val="0"/>
        <extend val="0"/>
        <outline val="0"/>
        <shadow val="0"/>
        <u val="none"/>
        <vertAlign val="baseline"/>
        <sz val="11"/>
        <color theme="1"/>
        <name val="Calibri"/>
        <family val="2"/>
        <scheme val="minor"/>
      </font>
      <numFmt numFmtId="169" formatCode="0.0"/>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style="thin">
          <color theme="4" tint="0.39997558519241921"/>
        </bottom>
        <vertical/>
        <horizontal/>
      </border>
      <protection locked="1" hidden="1"/>
    </dxf>
    <dxf>
      <protection locked="1" hidden="1"/>
    </dxf>
    <dxf>
      <alignment horizontal="center" vertical="bottom" textRotation="0" wrapText="0" indent="0" justifyLastLine="0" shrinkToFit="0" readingOrder="0"/>
      <protection locked="1" hidden="1"/>
    </dxf>
    <dxf>
      <numFmt numFmtId="169" formatCode="0.0"/>
      <alignment horizontal="general" vertical="bottom" textRotation="0" wrapText="0" indent="0" justifyLastLine="0" shrinkToFit="1" readingOrder="0"/>
      <protection locked="1" hidden="1"/>
    </dxf>
    <dxf>
      <numFmt numFmtId="2" formatCode="0.00"/>
      <alignment horizontal="general" vertical="bottom" textRotation="0" wrapText="0" indent="0" justifyLastLine="0" shrinkToFit="1" readingOrder="0"/>
      <protection locked="1" hidden="1"/>
    </dxf>
    <dxf>
      <numFmt numFmtId="169" formatCode="0.0"/>
      <protection locked="1" hidden="1"/>
    </dxf>
    <dxf>
      <numFmt numFmtId="169" formatCode="0.0"/>
      <protection locked="1" hidden="1"/>
    </dxf>
    <dxf>
      <protection locked="1" hidden="1"/>
    </dxf>
    <dxf>
      <numFmt numFmtId="177" formatCode="#,##0.0"/>
      <alignment horizontal="center" vertical="bottom" textRotation="0" wrapText="0" indent="0" justifyLastLine="0" shrinkToFit="1" readingOrder="0"/>
    </dxf>
    <dxf>
      <numFmt numFmtId="177" formatCode="#,##0.0"/>
      <alignment horizontal="right" vertical="bottom" textRotation="0" wrapText="0" relativeIndent="1" justifyLastLine="0" shrinkToFit="1" readingOrder="0"/>
    </dxf>
    <dxf>
      <numFmt numFmtId="177" formatCode="#,##0.0"/>
      <alignment horizontal="right" vertical="bottom" textRotation="0" wrapText="0" indent="1" justifyLastLine="0" shrinkToFit="1" readingOrder="0"/>
    </dxf>
    <dxf>
      <numFmt numFmtId="177" formatCode="#,##0.0"/>
      <alignment horizontal="center" vertical="bottom" textRotation="0" wrapText="0" indent="0" justifyLastLine="0" shrinkToFit="1" readingOrder="0"/>
    </dxf>
    <dxf>
      <alignment horizontal="center" vertical="bottom" textRotation="0" wrapText="0" indent="0" justifyLastLine="0" shrinkToFit="1" readingOrder="0"/>
    </dxf>
    <dxf>
      <numFmt numFmtId="198" formatCode="0\ &quot;MPa&quot;"/>
      <alignment horizontal="center" vertical="bottom" textRotation="0" wrapText="0" indent="0" justifyLastLine="0" shrinkToFit="1" readingOrder="0"/>
      <border diagonalUp="0" diagonalDown="0">
        <left style="thin">
          <color indexed="64"/>
        </left>
        <right style="thin">
          <color indexed="64"/>
        </right>
        <top style="thin">
          <color indexed="64"/>
        </top>
        <bottom style="thin">
          <color indexed="64"/>
        </bottom>
      </border>
    </dxf>
    <dxf>
      <numFmt numFmtId="173" formatCode="0\ &quot;º&quot;"/>
      <alignment horizontal="center" vertical="bottom" textRotation="0" wrapText="0" indent="0" justifyLastLine="0" shrinkToFit="1"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bottom style="thin">
          <color indexed="64"/>
        </bottom>
      </border>
    </dxf>
    <dxf>
      <alignment horizontal="center" vertical="bottom" textRotation="0" wrapText="0" indent="0" justifyLastLine="0" shrinkToFit="1" readingOrder="0"/>
    </dxf>
    <dxf>
      <border outline="0">
        <bottom style="thin">
          <color indexed="64"/>
        </bottom>
      </border>
    </dxf>
    <dxf>
      <alignment horizontal="center" vertical="bottom" textRotation="0" wrapText="0" indent="0" justifyLastLine="0" shrinkToFit="0" readingOrder="0"/>
    </dxf>
  </dxfs>
  <tableStyles count="0" defaultTableStyle="TableStyleMedium2" defaultPivotStyle="PivotStyleLight16"/>
  <colors>
    <mruColors>
      <color rgb="FF0058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image" Target="https://artistascc.files.wordpress.com/2017/01/by-nc-nd-eu_petit.png?w=768" TargetMode="External"/><Relationship Id="rId2" Type="http://schemas.openxmlformats.org/officeDocument/2006/relationships/image" Target="../media/image1.png"/><Relationship Id="rId1" Type="http://schemas.openxmlformats.org/officeDocument/2006/relationships/hyperlink" Target="https://github.com/MilagrosHuerta/Trusses_T1" TargetMode="Externa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https://artistascc.files.wordpress.com/2017/01/by-nc-nd-eu_petit.png?w=768" TargetMode="External"/><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xdr:col>
      <xdr:colOff>36547</xdr:colOff>
      <xdr:row>0</xdr:row>
      <xdr:rowOff>24365</xdr:rowOff>
    </xdr:from>
    <xdr:to>
      <xdr:col>2</xdr:col>
      <xdr:colOff>207098</xdr:colOff>
      <xdr:row>0</xdr:row>
      <xdr:rowOff>261919</xdr:rowOff>
    </xdr:to>
    <xdr:sp macro="" textlink="">
      <xdr:nvSpPr>
        <xdr:cNvPr id="2" name="Rectángulo 1">
          <a:hlinkClick xmlns:r="http://schemas.openxmlformats.org/officeDocument/2006/relationships" r:id="rId1"/>
          <a:extLst>
            <a:ext uri="{FF2B5EF4-FFF2-40B4-BE49-F238E27FC236}">
              <a16:creationId xmlns:a16="http://schemas.microsoft.com/office/drawing/2014/main" id="{F5C16D26-5947-2033-9ACE-2C6040FFF99C}"/>
            </a:ext>
          </a:extLst>
        </xdr:cNvPr>
        <xdr:cNvSpPr/>
      </xdr:nvSpPr>
      <xdr:spPr>
        <a:xfrm>
          <a:off x="325876" y="24365"/>
          <a:ext cx="6523596" cy="23755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1</xdr:col>
      <xdr:colOff>5509424</xdr:colOff>
      <xdr:row>0</xdr:row>
      <xdr:rowOff>3046</xdr:rowOff>
    </xdr:from>
    <xdr:to>
      <xdr:col>1</xdr:col>
      <xdr:colOff>6222529</xdr:colOff>
      <xdr:row>0</xdr:row>
      <xdr:rowOff>253236</xdr:rowOff>
    </xdr:to>
    <xdr:pic>
      <xdr:nvPicPr>
        <xdr:cNvPr id="3" name="Imagen 2" descr="by-nc-nd-eu_petit">
          <a:extLst>
            <a:ext uri="{FF2B5EF4-FFF2-40B4-BE49-F238E27FC236}">
              <a16:creationId xmlns:a16="http://schemas.microsoft.com/office/drawing/2014/main" id="{00929824-70AA-5B8D-BAD8-C04FED5EC90D}"/>
            </a:ext>
          </a:extLst>
        </xdr:cNvPr>
        <xdr:cNvPicPr>
          <a:picLocks noChangeAspect="1"/>
        </xdr:cNvPicPr>
      </xdr:nvPicPr>
      <xdr:blipFill>
        <a:blip xmlns:r="http://schemas.openxmlformats.org/officeDocument/2006/relationships" r:embed="rId2" r:link="rId3" cstate="print">
          <a:extLst>
            <a:ext uri="{28A0092B-C50C-407E-A947-70E740481C1C}">
              <a14:useLocalDpi xmlns:a14="http://schemas.microsoft.com/office/drawing/2010/main" val="0"/>
            </a:ext>
          </a:extLst>
        </a:blip>
        <a:srcRect/>
        <a:stretch>
          <a:fillRect/>
        </a:stretch>
      </xdr:blipFill>
      <xdr:spPr bwMode="auto">
        <a:xfrm>
          <a:off x="5798753" y="3046"/>
          <a:ext cx="713105" cy="250190"/>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104513</xdr:colOff>
      <xdr:row>28</xdr:row>
      <xdr:rowOff>17336</xdr:rowOff>
    </xdr:from>
    <xdr:to>
      <xdr:col>3</xdr:col>
      <xdr:colOff>150978</xdr:colOff>
      <xdr:row>29</xdr:row>
      <xdr:rowOff>10698</xdr:rowOff>
    </xdr:to>
    <mc:AlternateContent xmlns:mc="http://schemas.openxmlformats.org/markup-compatibility/2006" xmlns:a14="http://schemas.microsoft.com/office/drawing/2010/main">
      <mc:Choice Requires="a14">
        <xdr:sp macro="" textlink="">
          <xdr:nvSpPr>
            <xdr:cNvPr id="2" name="Formula_Fh">
              <a:extLst>
                <a:ext uri="{FF2B5EF4-FFF2-40B4-BE49-F238E27FC236}">
                  <a16:creationId xmlns:a16="http://schemas.microsoft.com/office/drawing/2014/main" id="{DFBCD38E-EC7B-E879-212F-5EC53002163E}"/>
                </a:ext>
              </a:extLst>
            </xdr:cNvPr>
            <xdr:cNvSpPr txBox="1"/>
          </xdr:nvSpPr>
          <xdr:spPr>
            <a:xfrm>
              <a:off x="224648" y="4539566"/>
              <a:ext cx="1213492" cy="362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𝐻</m:t>
                            </m:r>
                          </m:sub>
                        </m:sSub>
                      </m:e>
                    </m:nary>
                    <m:r>
                      <a:rPr lang="es-ES" sz="1100" b="0" i="1">
                        <a:latin typeface="Cambria Math" panose="02040503050406030204" pitchFamily="18" charset="0"/>
                      </a:rPr>
                      <m:t>=0  </m:t>
                    </m:r>
                    <m:r>
                      <m:rPr>
                        <m:nor/>
                      </m:rPr>
                      <a:rPr lang="es-ES" sz="1100" b="0" i="0">
                        <a:latin typeface="Cambria Math" panose="02040503050406030204" pitchFamily="18" charset="0"/>
                      </a:rPr>
                      <m:t>(</m:t>
                    </m:r>
                    <m:r>
                      <m:rPr>
                        <m:nor/>
                      </m:rPr>
                      <a:rPr lang="es-ES" sz="1100" b="0" i="0">
                        <a:latin typeface="Cambria Math" panose="02040503050406030204" pitchFamily="18" charset="0"/>
                      </a:rPr>
                      <m:t>pos</m:t>
                    </m:r>
                    <m:r>
                      <m:rPr>
                        <m:nor/>
                      </m:rPr>
                      <a:rPr lang="es-ES" sz="1100" b="0" i="0">
                        <a:latin typeface="Cambria Math" panose="02040503050406030204" pitchFamily="18" charset="0"/>
                      </a:rPr>
                      <m:t> </m:t>
                    </m:r>
                    <m:r>
                      <m:rPr>
                        <m:nor/>
                      </m:rPr>
                      <a:rPr lang="es-ES" sz="1100" b="0" i="0" u="none" strike="noStrike">
                        <a:solidFill>
                          <a:schemeClr val="tx1"/>
                        </a:solidFill>
                        <a:effectLst/>
                        <a:latin typeface="+mn-lt"/>
                        <a:ea typeface="+mn-ea"/>
                        <a:cs typeface="+mn-cs"/>
                      </a:rPr>
                      <m:t>→)</m:t>
                    </m:r>
                    <m:r>
                      <m:rPr>
                        <m:nor/>
                      </m:rPr>
                      <a:rPr lang="es-ES"/>
                      <m:t> </m:t>
                    </m:r>
                    <m:r>
                      <a:rPr lang="es-ES" sz="1100" b="0" i="1">
                        <a:latin typeface="Cambria Math" panose="02040503050406030204" pitchFamily="18" charset="0"/>
                      </a:rPr>
                      <m:t>   </m:t>
                    </m:r>
                  </m:oMath>
                </m:oMathPara>
              </a14:m>
              <a:endParaRPr lang="es-ES" sz="1100"/>
            </a:p>
          </xdr:txBody>
        </xdr:sp>
      </mc:Choice>
      <mc:Fallback xmlns="">
        <xdr:sp macro="" textlink="">
          <xdr:nvSpPr>
            <xdr:cNvPr id="2" name="Formula_Fh">
              <a:extLst>
                <a:ext uri="{FF2B5EF4-FFF2-40B4-BE49-F238E27FC236}">
                  <a16:creationId xmlns:a16="http://schemas.microsoft.com/office/drawing/2014/main" id="{DFBCD38E-EC7B-E879-212F-5EC53002163E}"/>
                </a:ext>
              </a:extLst>
            </xdr:cNvPr>
            <xdr:cNvSpPr txBox="1"/>
          </xdr:nvSpPr>
          <xdr:spPr>
            <a:xfrm>
              <a:off x="224648" y="4539566"/>
              <a:ext cx="1213492" cy="3623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∑▒𝐹_𝐻 </a:t>
              </a:r>
              <a:r>
                <a:rPr lang="es-ES" sz="1100" b="0" i="0">
                  <a:latin typeface="Cambria Math" panose="02040503050406030204" pitchFamily="18" charset="0"/>
                </a:rPr>
                <a:t>=0  "(pos </a:t>
              </a:r>
              <a:r>
                <a:rPr lang="es-ES" sz="1100" b="0" i="0" u="none" strike="noStrike">
                  <a:solidFill>
                    <a:schemeClr val="tx1"/>
                  </a:solidFill>
                  <a:effectLst/>
                  <a:latin typeface="Cambria Math" panose="02040503050406030204" pitchFamily="18" charset="0"/>
                  <a:ea typeface="+mn-ea"/>
                  <a:cs typeface="+mn-cs"/>
                </a:rPr>
                <a:t>→)</a:t>
              </a:r>
              <a:r>
                <a:rPr lang="es-ES" i="0">
                  <a:latin typeface="Cambria Math" panose="02040503050406030204" pitchFamily="18" charset="0"/>
                </a:rPr>
                <a:t>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55730</xdr:colOff>
      <xdr:row>31</xdr:row>
      <xdr:rowOff>29583</xdr:rowOff>
    </xdr:from>
    <xdr:to>
      <xdr:col>3</xdr:col>
      <xdr:colOff>308918</xdr:colOff>
      <xdr:row>31</xdr:row>
      <xdr:rowOff>332547</xdr:rowOff>
    </xdr:to>
    <mc:AlternateContent xmlns:mc="http://schemas.openxmlformats.org/markup-compatibility/2006" xmlns:a14="http://schemas.microsoft.com/office/drawing/2010/main">
      <mc:Choice Requires="a14">
        <xdr:sp macro="" textlink="">
          <xdr:nvSpPr>
            <xdr:cNvPr id="4" name="Formula_Mc">
              <a:extLst>
                <a:ext uri="{FF2B5EF4-FFF2-40B4-BE49-F238E27FC236}">
                  <a16:creationId xmlns:a16="http://schemas.microsoft.com/office/drawing/2014/main" id="{F9EC2E21-C8CE-42EB-92CB-C587F5C6D360}"/>
                </a:ext>
              </a:extLst>
            </xdr:cNvPr>
            <xdr:cNvSpPr txBox="1"/>
          </xdr:nvSpPr>
          <xdr:spPr>
            <a:xfrm>
              <a:off x="177599" y="7136452"/>
              <a:ext cx="1414147" cy="302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r>
                          <a:rPr lang="es-ES" sz="1100" b="0" i="1">
                            <a:solidFill>
                              <a:schemeClr val="tx1"/>
                            </a:solidFill>
                            <a:effectLst/>
                            <a:latin typeface="Cambria Math" panose="02040503050406030204" pitchFamily="18" charset="0"/>
                            <a:ea typeface="+mn-ea"/>
                            <a:cs typeface="+mn-cs"/>
                          </a:rPr>
                          <m:t>𝑀</m:t>
                        </m:r>
                      </m:e>
                    </m:nary>
                    <m:r>
                      <m:rPr>
                        <m:nor/>
                      </m:rPr>
                      <a:rPr lang="es-ES"/>
                      <m:t> </m:t>
                    </m:r>
                    <m:r>
                      <a:rPr lang="es-ES" b="0" i="1">
                        <a:latin typeface="Cambria Math" panose="02040503050406030204" pitchFamily="18" charset="0"/>
                      </a:rPr>
                      <m:t> =0 (</m:t>
                    </m:r>
                    <m:r>
                      <a:rPr lang="es-ES" b="0" i="1">
                        <a:latin typeface="Cambria Math" panose="02040503050406030204" pitchFamily="18" charset="0"/>
                      </a:rPr>
                      <m:t>𝑝𝑜𝑠</m:t>
                    </m:r>
                    <m:r>
                      <a:rPr lang="es-ES" b="0" i="1">
                        <a:latin typeface="Cambria Math" panose="02040503050406030204" pitchFamily="18" charset="0"/>
                      </a:rPr>
                      <m:t> ↺)</m:t>
                    </m:r>
                    <m:r>
                      <a:rPr lang="es-ES" sz="1100" b="0" i="1">
                        <a:latin typeface="Cambria Math" panose="02040503050406030204" pitchFamily="18" charset="0"/>
                      </a:rPr>
                      <m:t>   </m:t>
                    </m:r>
                  </m:oMath>
                </m:oMathPara>
              </a14:m>
              <a:endParaRPr lang="es-ES" sz="1100"/>
            </a:p>
          </xdr:txBody>
        </xdr:sp>
      </mc:Choice>
      <mc:Fallback xmlns="">
        <xdr:sp macro="" textlink="">
          <xdr:nvSpPr>
            <xdr:cNvPr id="4" name="Formula_Mc">
              <a:extLst>
                <a:ext uri="{FF2B5EF4-FFF2-40B4-BE49-F238E27FC236}">
                  <a16:creationId xmlns:a16="http://schemas.microsoft.com/office/drawing/2014/main" id="{F9EC2E21-C8CE-42EB-92CB-C587F5C6D360}"/>
                </a:ext>
              </a:extLst>
            </xdr:cNvPr>
            <xdr:cNvSpPr txBox="1"/>
          </xdr:nvSpPr>
          <xdr:spPr>
            <a:xfrm>
              <a:off x="177599" y="7136452"/>
              <a:ext cx="1414147" cy="302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∑▒𝑀 "</a:t>
              </a:r>
              <a:r>
                <a:rPr lang="es-ES" i="0">
                  <a:latin typeface="Cambria Math" panose="02040503050406030204" pitchFamily="18" charset="0"/>
                </a:rPr>
                <a:t> </a:t>
              </a:r>
              <a:r>
                <a:rPr lang="es-ES" b="0" i="0">
                  <a:latin typeface="Cambria Math" panose="02040503050406030204" pitchFamily="18" charset="0"/>
                </a:rPr>
                <a:t>" =0 (𝑝𝑜𝑠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152937</xdr:colOff>
      <xdr:row>33</xdr:row>
      <xdr:rowOff>351824</xdr:rowOff>
    </xdr:from>
    <xdr:to>
      <xdr:col>3</xdr:col>
      <xdr:colOff>161656</xdr:colOff>
      <xdr:row>34</xdr:row>
      <xdr:rowOff>305278</xdr:rowOff>
    </xdr:to>
    <mc:AlternateContent xmlns:mc="http://schemas.openxmlformats.org/markup-compatibility/2006" xmlns:a14="http://schemas.microsoft.com/office/drawing/2010/main">
      <mc:Choice Requires="a14">
        <xdr:sp macro="" textlink="">
          <xdr:nvSpPr>
            <xdr:cNvPr id="3" name="Formula_Fv">
              <a:extLst>
                <a:ext uri="{FF2B5EF4-FFF2-40B4-BE49-F238E27FC236}">
                  <a16:creationId xmlns:a16="http://schemas.microsoft.com/office/drawing/2014/main" id="{F0CFFFC3-F2DD-4B74-9487-B60FD65D9226}"/>
                </a:ext>
              </a:extLst>
            </xdr:cNvPr>
            <xdr:cNvSpPr txBox="1"/>
          </xdr:nvSpPr>
          <xdr:spPr>
            <a:xfrm>
              <a:off x="273072" y="6350000"/>
              <a:ext cx="1175746" cy="3310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3" name="Formula_Fv">
              <a:extLst>
                <a:ext uri="{FF2B5EF4-FFF2-40B4-BE49-F238E27FC236}">
                  <a16:creationId xmlns:a16="http://schemas.microsoft.com/office/drawing/2014/main" id="{F0CFFFC3-F2DD-4B74-9487-B60FD65D9226}"/>
                </a:ext>
              </a:extLst>
            </xdr:cNvPr>
            <xdr:cNvSpPr txBox="1"/>
          </xdr:nvSpPr>
          <xdr:spPr>
            <a:xfrm>
              <a:off x="273072" y="6350000"/>
              <a:ext cx="1175746" cy="33102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60821</xdr:colOff>
      <xdr:row>37</xdr:row>
      <xdr:rowOff>398235</xdr:rowOff>
    </xdr:from>
    <xdr:to>
      <xdr:col>3</xdr:col>
      <xdr:colOff>65397</xdr:colOff>
      <xdr:row>38</xdr:row>
      <xdr:rowOff>328325</xdr:rowOff>
    </xdr:to>
    <mc:AlternateContent xmlns:mc="http://schemas.openxmlformats.org/markup-compatibility/2006" xmlns:a14="http://schemas.microsoft.com/office/drawing/2010/main">
      <mc:Choice Requires="a14">
        <xdr:sp macro="" textlink="">
          <xdr:nvSpPr>
            <xdr:cNvPr id="9" name="Formula_Fv_A">
              <a:extLst>
                <a:ext uri="{FF2B5EF4-FFF2-40B4-BE49-F238E27FC236}">
                  <a16:creationId xmlns:a16="http://schemas.microsoft.com/office/drawing/2014/main" id="{7EFD386C-A452-4433-9FA6-C64042C8423C}"/>
                </a:ext>
              </a:extLst>
            </xdr:cNvPr>
            <xdr:cNvSpPr txBox="1"/>
          </xdr:nvSpPr>
          <xdr:spPr>
            <a:xfrm>
              <a:off x="183588" y="8928402"/>
              <a:ext cx="1164509" cy="4338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9" name="Formula_Fv_A">
              <a:extLst>
                <a:ext uri="{FF2B5EF4-FFF2-40B4-BE49-F238E27FC236}">
                  <a16:creationId xmlns:a16="http://schemas.microsoft.com/office/drawing/2014/main" id="{7EFD386C-A452-4433-9FA6-C64042C8423C}"/>
                </a:ext>
              </a:extLst>
            </xdr:cNvPr>
            <xdr:cNvSpPr txBox="1"/>
          </xdr:nvSpPr>
          <xdr:spPr>
            <a:xfrm>
              <a:off x="183588" y="8928402"/>
              <a:ext cx="1164509" cy="4338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60821</xdr:colOff>
      <xdr:row>38</xdr:row>
      <xdr:rowOff>350397</xdr:rowOff>
    </xdr:from>
    <xdr:to>
      <xdr:col>3</xdr:col>
      <xdr:colOff>65397</xdr:colOff>
      <xdr:row>39</xdr:row>
      <xdr:rowOff>280487</xdr:rowOff>
    </xdr:to>
    <mc:AlternateContent xmlns:mc="http://schemas.openxmlformats.org/markup-compatibility/2006" xmlns:a14="http://schemas.microsoft.com/office/drawing/2010/main">
      <mc:Choice Requires="a14">
        <xdr:sp macro="" textlink="">
          <xdr:nvSpPr>
            <xdr:cNvPr id="10" name="Formula_Fh_A">
              <a:extLst>
                <a:ext uri="{FF2B5EF4-FFF2-40B4-BE49-F238E27FC236}">
                  <a16:creationId xmlns:a16="http://schemas.microsoft.com/office/drawing/2014/main" id="{618A1282-6E64-4AB3-9FD9-FF82214CA1F7}"/>
                </a:ext>
              </a:extLst>
            </xdr:cNvPr>
            <xdr:cNvSpPr txBox="1"/>
          </xdr:nvSpPr>
          <xdr:spPr>
            <a:xfrm>
              <a:off x="183724" y="913570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𝐻</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0" name="Formula_Fh_A">
              <a:extLst>
                <a:ext uri="{FF2B5EF4-FFF2-40B4-BE49-F238E27FC236}">
                  <a16:creationId xmlns:a16="http://schemas.microsoft.com/office/drawing/2014/main" id="{618A1282-6E64-4AB3-9FD9-FF82214CA1F7}"/>
                </a:ext>
              </a:extLst>
            </xdr:cNvPr>
            <xdr:cNvSpPr txBox="1"/>
          </xdr:nvSpPr>
          <xdr:spPr>
            <a:xfrm>
              <a:off x="183724" y="913570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∑▒𝐹_𝐻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42</xdr:row>
      <xdr:rowOff>427780</xdr:rowOff>
    </xdr:from>
    <xdr:to>
      <xdr:col>3</xdr:col>
      <xdr:colOff>51741</xdr:colOff>
      <xdr:row>43</xdr:row>
      <xdr:rowOff>294142</xdr:rowOff>
    </xdr:to>
    <mc:AlternateContent xmlns:mc="http://schemas.openxmlformats.org/markup-compatibility/2006" xmlns:a14="http://schemas.microsoft.com/office/drawing/2010/main">
      <mc:Choice Requires="a14">
        <xdr:sp macro="" textlink="">
          <xdr:nvSpPr>
            <xdr:cNvPr id="124" name="Formula_Fv_C">
              <a:extLst>
                <a:ext uri="{FF2B5EF4-FFF2-40B4-BE49-F238E27FC236}">
                  <a16:creationId xmlns:a16="http://schemas.microsoft.com/office/drawing/2014/main" id="{0E93D9CA-68CC-42E3-9829-73D0BB171397}"/>
                </a:ext>
              </a:extLst>
            </xdr:cNvPr>
            <xdr:cNvSpPr txBox="1"/>
          </xdr:nvSpPr>
          <xdr:spPr>
            <a:xfrm>
              <a:off x="170068" y="1075165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24" name="Formula_Fv_C">
              <a:extLst>
                <a:ext uri="{FF2B5EF4-FFF2-40B4-BE49-F238E27FC236}">
                  <a16:creationId xmlns:a16="http://schemas.microsoft.com/office/drawing/2014/main" id="{0E93D9CA-68CC-42E3-9829-73D0BB171397}"/>
                </a:ext>
              </a:extLst>
            </xdr:cNvPr>
            <xdr:cNvSpPr txBox="1"/>
          </xdr:nvSpPr>
          <xdr:spPr>
            <a:xfrm>
              <a:off x="170068" y="1075165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43</xdr:row>
      <xdr:rowOff>364051</xdr:rowOff>
    </xdr:from>
    <xdr:to>
      <xdr:col>3</xdr:col>
      <xdr:colOff>51741</xdr:colOff>
      <xdr:row>44</xdr:row>
      <xdr:rowOff>294142</xdr:rowOff>
    </xdr:to>
    <mc:AlternateContent xmlns:mc="http://schemas.openxmlformats.org/markup-compatibility/2006" xmlns:a14="http://schemas.microsoft.com/office/drawing/2010/main">
      <mc:Choice Requires="a14">
        <xdr:sp macro="" textlink="">
          <xdr:nvSpPr>
            <xdr:cNvPr id="125" name="Formula_Fh_C">
              <a:extLst>
                <a:ext uri="{FF2B5EF4-FFF2-40B4-BE49-F238E27FC236}">
                  <a16:creationId xmlns:a16="http://schemas.microsoft.com/office/drawing/2014/main" id="{AA88E5E5-773A-4490-8A45-CCA6CB87DCD8}"/>
                </a:ext>
              </a:extLst>
            </xdr:cNvPr>
            <xdr:cNvSpPr txBox="1"/>
          </xdr:nvSpPr>
          <xdr:spPr>
            <a:xfrm>
              <a:off x="170068" y="11134016"/>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𝐻</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25" name="Formula_Fh_C">
              <a:extLst>
                <a:ext uri="{FF2B5EF4-FFF2-40B4-BE49-F238E27FC236}">
                  <a16:creationId xmlns:a16="http://schemas.microsoft.com/office/drawing/2014/main" id="{AA88E5E5-773A-4490-8A45-CCA6CB87DCD8}"/>
                </a:ext>
              </a:extLst>
            </xdr:cNvPr>
            <xdr:cNvSpPr txBox="1"/>
          </xdr:nvSpPr>
          <xdr:spPr>
            <a:xfrm>
              <a:off x="170068" y="11134016"/>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∑▒𝐹_𝐻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47</xdr:row>
      <xdr:rowOff>380293</xdr:rowOff>
    </xdr:from>
    <xdr:to>
      <xdr:col>3</xdr:col>
      <xdr:colOff>51741</xdr:colOff>
      <xdr:row>48</xdr:row>
      <xdr:rowOff>340977</xdr:rowOff>
    </xdr:to>
    <mc:AlternateContent xmlns:mc="http://schemas.openxmlformats.org/markup-compatibility/2006" xmlns:a14="http://schemas.microsoft.com/office/drawing/2010/main">
      <mc:Choice Requires="a14">
        <xdr:sp macro="" textlink="">
          <xdr:nvSpPr>
            <xdr:cNvPr id="176" name="Formula_Fv_D">
              <a:extLst>
                <a:ext uri="{FF2B5EF4-FFF2-40B4-BE49-F238E27FC236}">
                  <a16:creationId xmlns:a16="http://schemas.microsoft.com/office/drawing/2014/main" id="{F8BC0C3B-4546-4493-8277-A2CAD9EDB4AE}"/>
                </a:ext>
              </a:extLst>
            </xdr:cNvPr>
            <xdr:cNvSpPr txBox="1"/>
          </xdr:nvSpPr>
          <xdr:spPr>
            <a:xfrm>
              <a:off x="170068" y="12688823"/>
              <a:ext cx="1160777" cy="34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76" name="Formula_Fv_D">
              <a:extLst>
                <a:ext uri="{FF2B5EF4-FFF2-40B4-BE49-F238E27FC236}">
                  <a16:creationId xmlns:a16="http://schemas.microsoft.com/office/drawing/2014/main" id="{F8BC0C3B-4546-4493-8277-A2CAD9EDB4AE}"/>
                </a:ext>
              </a:extLst>
            </xdr:cNvPr>
            <xdr:cNvSpPr txBox="1"/>
          </xdr:nvSpPr>
          <xdr:spPr>
            <a:xfrm>
              <a:off x="170068" y="12688823"/>
              <a:ext cx="1160777" cy="34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49</xdr:row>
      <xdr:rowOff>13550</xdr:rowOff>
    </xdr:from>
    <xdr:to>
      <xdr:col>3</xdr:col>
      <xdr:colOff>51741</xdr:colOff>
      <xdr:row>49</xdr:row>
      <xdr:rowOff>326006</xdr:rowOff>
    </xdr:to>
    <mc:AlternateContent xmlns:mc="http://schemas.openxmlformats.org/markup-compatibility/2006" xmlns:a14="http://schemas.microsoft.com/office/drawing/2010/main">
      <mc:Choice Requires="a14">
        <xdr:sp macro="" textlink="">
          <xdr:nvSpPr>
            <xdr:cNvPr id="177" name="Formula_Fh_D">
              <a:extLst>
                <a:ext uri="{FF2B5EF4-FFF2-40B4-BE49-F238E27FC236}">
                  <a16:creationId xmlns:a16="http://schemas.microsoft.com/office/drawing/2014/main" id="{3FE2771D-23BA-44C0-A3ED-8965FEBD3BFE}"/>
                </a:ext>
              </a:extLst>
            </xdr:cNvPr>
            <xdr:cNvSpPr txBox="1"/>
          </xdr:nvSpPr>
          <xdr:spPr>
            <a:xfrm>
              <a:off x="170068" y="1308681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𝐻</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177" name="Formula_Fh_D">
              <a:extLst>
                <a:ext uri="{FF2B5EF4-FFF2-40B4-BE49-F238E27FC236}">
                  <a16:creationId xmlns:a16="http://schemas.microsoft.com/office/drawing/2014/main" id="{3FE2771D-23BA-44C0-A3ED-8965FEBD3BFE}"/>
                </a:ext>
              </a:extLst>
            </xdr:cNvPr>
            <xdr:cNvSpPr txBox="1"/>
          </xdr:nvSpPr>
          <xdr:spPr>
            <a:xfrm>
              <a:off x="170068" y="13086811"/>
              <a:ext cx="1160777" cy="3124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∑▒𝐹_𝐻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1</xdr:col>
      <xdr:colOff>47165</xdr:colOff>
      <xdr:row>52</xdr:row>
      <xdr:rowOff>357532</xdr:rowOff>
    </xdr:from>
    <xdr:to>
      <xdr:col>3</xdr:col>
      <xdr:colOff>51741</xdr:colOff>
      <xdr:row>53</xdr:row>
      <xdr:rowOff>314086</xdr:rowOff>
    </xdr:to>
    <mc:AlternateContent xmlns:mc="http://schemas.openxmlformats.org/markup-compatibility/2006" xmlns:a14="http://schemas.microsoft.com/office/drawing/2010/main">
      <mc:Choice Requires="a14">
        <xdr:sp macro="" textlink="">
          <xdr:nvSpPr>
            <xdr:cNvPr id="210" name="Formula_Fv_E">
              <a:extLst>
                <a:ext uri="{FF2B5EF4-FFF2-40B4-BE49-F238E27FC236}">
                  <a16:creationId xmlns:a16="http://schemas.microsoft.com/office/drawing/2014/main" id="{B81AF62C-F11B-4200-9672-2716510498C3}"/>
                </a:ext>
              </a:extLst>
            </xdr:cNvPr>
            <xdr:cNvSpPr txBox="1"/>
          </xdr:nvSpPr>
          <xdr:spPr>
            <a:xfrm>
              <a:off x="170068" y="14659826"/>
              <a:ext cx="1160777" cy="338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nary>
                      <m:naryPr>
                        <m:chr m:val="∑"/>
                        <m:subHide m:val="on"/>
                        <m:supHide m:val="on"/>
                        <m:ctrlPr>
                          <a:rPr lang="es-ES" sz="1100" b="0" i="1">
                            <a:solidFill>
                              <a:schemeClr val="tx1"/>
                            </a:solidFill>
                            <a:effectLst/>
                            <a:latin typeface="Cambria Math" panose="02040503050406030204" pitchFamily="18" charset="0"/>
                            <a:ea typeface="+mn-ea"/>
                            <a:cs typeface="+mn-cs"/>
                          </a:rPr>
                        </m:ctrlPr>
                      </m:naryPr>
                      <m:sub/>
                      <m:sup/>
                      <m:e>
                        <m:sSub>
                          <m:sSubPr>
                            <m:ctrlPr>
                              <a:rPr lang="es-ES" sz="1100" b="0" i="1">
                                <a:solidFill>
                                  <a:schemeClr val="tx1"/>
                                </a:solidFill>
                                <a:effectLst/>
                                <a:latin typeface="Cambria Math" panose="02040503050406030204" pitchFamily="18" charset="0"/>
                                <a:ea typeface="+mn-ea"/>
                                <a:cs typeface="+mn-cs"/>
                              </a:rPr>
                            </m:ctrlPr>
                          </m:sSubPr>
                          <m:e>
                            <m:r>
                              <a:rPr lang="es-ES" sz="1100" b="0" i="1">
                                <a:solidFill>
                                  <a:schemeClr val="tx1"/>
                                </a:solidFill>
                                <a:effectLst/>
                                <a:latin typeface="Cambria Math" panose="02040503050406030204" pitchFamily="18" charset="0"/>
                                <a:ea typeface="+mn-ea"/>
                                <a:cs typeface="+mn-cs"/>
                              </a:rPr>
                              <m:t>𝐹</m:t>
                            </m:r>
                          </m:e>
                          <m:sub>
                            <m:r>
                              <a:rPr lang="es-ES" sz="1100" b="0" i="1">
                                <a:solidFill>
                                  <a:schemeClr val="tx1"/>
                                </a:solidFill>
                                <a:effectLst/>
                                <a:latin typeface="Cambria Math" panose="02040503050406030204" pitchFamily="18" charset="0"/>
                                <a:ea typeface="+mn-ea"/>
                                <a:cs typeface="+mn-cs"/>
                              </a:rPr>
                              <m:t>𝑉</m:t>
                            </m:r>
                          </m:sub>
                        </m:sSub>
                      </m:e>
                    </m:nary>
                    <m:r>
                      <a:rPr lang="es-ES" b="0" i="1">
                        <a:latin typeface="Cambria Math" panose="02040503050406030204" pitchFamily="18" charset="0"/>
                      </a:rPr>
                      <m:t>=0 </m:t>
                    </m:r>
                    <m:r>
                      <m:rPr>
                        <m:nor/>
                      </m:rPr>
                      <a:rPr lang="es-ES" sz="1100" b="0" i="0">
                        <a:solidFill>
                          <a:schemeClr val="tx1"/>
                        </a:solidFill>
                        <a:effectLst/>
                        <a:latin typeface="+mn-lt"/>
                        <a:ea typeface="+mn-ea"/>
                        <a:cs typeface="+mn-cs"/>
                      </a:rPr>
                      <m:t>(</m:t>
                    </m:r>
                    <m:r>
                      <m:rPr>
                        <m:nor/>
                      </m:rPr>
                      <a:rPr lang="es-ES" sz="1100" b="0" i="0">
                        <a:solidFill>
                          <a:schemeClr val="tx1"/>
                        </a:solidFill>
                        <a:effectLst/>
                        <a:latin typeface="+mn-lt"/>
                        <a:ea typeface="+mn-ea"/>
                        <a:cs typeface="+mn-cs"/>
                      </a:rPr>
                      <m:t>pos</m:t>
                    </m:r>
                    <m:r>
                      <m:rPr>
                        <m:nor/>
                      </m:rPr>
                      <a:rPr lang="es-ES" sz="1100" b="0" i="0">
                        <a:solidFill>
                          <a:schemeClr val="tx1"/>
                        </a:solidFill>
                        <a:effectLst/>
                        <a:latin typeface="+mn-lt"/>
                        <a:ea typeface="+mn-ea"/>
                        <a:cs typeface="+mn-cs"/>
                      </a:rPr>
                      <m:t> ↑)</m:t>
                    </m:r>
                    <m:r>
                      <a:rPr lang="es-ES" sz="1100" b="0" i="1">
                        <a:latin typeface="Cambria Math" panose="02040503050406030204" pitchFamily="18" charset="0"/>
                      </a:rPr>
                      <m:t>   </m:t>
                    </m:r>
                  </m:oMath>
                </m:oMathPara>
              </a14:m>
              <a:endParaRPr lang="es-ES" sz="1100"/>
            </a:p>
          </xdr:txBody>
        </xdr:sp>
      </mc:Choice>
      <mc:Fallback xmlns="">
        <xdr:sp macro="" textlink="">
          <xdr:nvSpPr>
            <xdr:cNvPr id="210" name="Formula_Fv_E">
              <a:extLst>
                <a:ext uri="{FF2B5EF4-FFF2-40B4-BE49-F238E27FC236}">
                  <a16:creationId xmlns:a16="http://schemas.microsoft.com/office/drawing/2014/main" id="{B81AF62C-F11B-4200-9672-2716510498C3}"/>
                </a:ext>
              </a:extLst>
            </xdr:cNvPr>
            <xdr:cNvSpPr txBox="1"/>
          </xdr:nvSpPr>
          <xdr:spPr>
            <a:xfrm>
              <a:off x="170068" y="14659826"/>
              <a:ext cx="1160777" cy="33891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mn-ea"/>
                  <a:cs typeface="+mn-cs"/>
                </a:rPr>
                <a:t>∑▒𝐹_𝑉 </a:t>
              </a:r>
              <a:r>
                <a:rPr lang="es-ES" b="0" i="0">
                  <a:latin typeface="Cambria Math" panose="02040503050406030204" pitchFamily="18" charset="0"/>
                </a:rPr>
                <a:t>=0 </a:t>
              </a:r>
              <a:r>
                <a:rPr lang="es-ES" sz="1100" b="0" i="0">
                  <a:solidFill>
                    <a:schemeClr val="tx1"/>
                  </a:solidFill>
                  <a:effectLst/>
                  <a:latin typeface="Cambria Math" panose="02040503050406030204" pitchFamily="18" charset="0"/>
                  <a:ea typeface="+mn-ea"/>
                  <a:cs typeface="+mn-cs"/>
                </a:rPr>
                <a:t>"(pos ↑)"</a:t>
              </a:r>
              <a:r>
                <a:rPr lang="es-ES" sz="1100" b="0" i="0">
                  <a:latin typeface="Cambria Math" panose="02040503050406030204" pitchFamily="18" charset="0"/>
                </a:rPr>
                <a:t>   </a:t>
              </a:r>
              <a:endParaRPr lang="es-ES" sz="1100"/>
            </a:p>
          </xdr:txBody>
        </xdr:sp>
      </mc:Fallback>
    </mc:AlternateContent>
    <xdr:clientData/>
  </xdr:twoCellAnchor>
  <xdr:twoCellAnchor>
    <xdr:from>
      <xdr:col>4</xdr:col>
      <xdr:colOff>299052</xdr:colOff>
      <xdr:row>59</xdr:row>
      <xdr:rowOff>80664</xdr:rowOff>
    </xdr:from>
    <xdr:to>
      <xdr:col>6</xdr:col>
      <xdr:colOff>346347</xdr:colOff>
      <xdr:row>60</xdr:row>
      <xdr:rowOff>211987</xdr:rowOff>
    </xdr:to>
    <mc:AlternateContent xmlns:mc="http://schemas.openxmlformats.org/markup-compatibility/2006" xmlns:a14="http://schemas.microsoft.com/office/drawing/2010/main">
      <mc:Choice Requires="a14">
        <xdr:sp macro="" textlink="">
          <xdr:nvSpPr>
            <xdr:cNvPr id="130" name="Formula_s_max">
              <a:extLst>
                <a:ext uri="{FF2B5EF4-FFF2-40B4-BE49-F238E27FC236}">
                  <a16:creationId xmlns:a16="http://schemas.microsoft.com/office/drawing/2014/main" id="{3E41CACA-B346-4AF2-B824-2D199C085F1B}"/>
                </a:ext>
              </a:extLst>
            </xdr:cNvPr>
            <xdr:cNvSpPr txBox="1"/>
          </xdr:nvSpPr>
          <xdr:spPr>
            <a:xfrm>
              <a:off x="1983082" y="16418540"/>
              <a:ext cx="847441" cy="44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14:m>
                <m:oMathPara xmlns:m="http://schemas.openxmlformats.org/officeDocument/2006/math">
                  <m:oMathParaPr>
                    <m:jc m:val="right"/>
                  </m:oMathParaPr>
                  <m:oMath xmlns:m="http://schemas.openxmlformats.org/officeDocument/2006/math">
                    <m:r>
                      <a:rPr lang="es-ES" sz="1100" b="0" i="1">
                        <a:solidFill>
                          <a:schemeClr val="tx1"/>
                        </a:solidFill>
                        <a:effectLst/>
                        <a:latin typeface="Cambria Math" panose="02040503050406030204" pitchFamily="18" charset="0"/>
                        <a:ea typeface="Cambria Math" panose="02040503050406030204" pitchFamily="18" charset="0"/>
                        <a:cs typeface="+mn-cs"/>
                      </a:rPr>
                      <m:t>𝜎</m:t>
                    </m:r>
                    <m:r>
                      <a:rPr lang="es-ES" sz="1100" b="0" i="1">
                        <a:solidFill>
                          <a:schemeClr val="tx1"/>
                        </a:solidFill>
                        <a:effectLst/>
                        <a:latin typeface="Cambria Math" panose="02040503050406030204" pitchFamily="18" charset="0"/>
                        <a:ea typeface="Cambria Math" panose="02040503050406030204" pitchFamily="18" charset="0"/>
                        <a:cs typeface="+mn-cs"/>
                      </a:rPr>
                      <m:t>=</m:t>
                    </m:r>
                    <m:f>
                      <m:fPr>
                        <m:ctrlPr>
                          <a:rPr lang="es-ES" sz="1100" b="0" i="1">
                            <a:solidFill>
                              <a:schemeClr val="tx1"/>
                            </a:solidFill>
                            <a:effectLst/>
                            <a:latin typeface="Cambria Math" panose="02040503050406030204" pitchFamily="18" charset="0"/>
                            <a:ea typeface="Cambria Math" panose="02040503050406030204" pitchFamily="18" charset="0"/>
                            <a:cs typeface="+mn-cs"/>
                          </a:rPr>
                        </m:ctrlPr>
                      </m:fPr>
                      <m:num>
                        <m:sSub>
                          <m:sSubPr>
                            <m:ctrlPr>
                              <a:rPr lang="es-ES" sz="1100" b="0" i="1">
                                <a:solidFill>
                                  <a:schemeClr val="tx1"/>
                                </a:solidFill>
                                <a:effectLst/>
                                <a:latin typeface="Cambria Math" panose="02040503050406030204" pitchFamily="18" charset="0"/>
                                <a:ea typeface="Cambria Math" panose="02040503050406030204" pitchFamily="18" charset="0"/>
                                <a:cs typeface="+mn-cs"/>
                              </a:rPr>
                            </m:ctrlPr>
                          </m:sSubPr>
                          <m:e>
                            <m:r>
                              <a:rPr lang="es-ES" sz="1100" b="0" i="1">
                                <a:solidFill>
                                  <a:schemeClr val="tx1"/>
                                </a:solidFill>
                                <a:effectLst/>
                                <a:latin typeface="Cambria Math" panose="02040503050406030204" pitchFamily="18" charset="0"/>
                                <a:ea typeface="Cambria Math" panose="02040503050406030204" pitchFamily="18" charset="0"/>
                                <a:cs typeface="+mn-cs"/>
                              </a:rPr>
                              <m:t>𝑁</m:t>
                            </m:r>
                          </m:e>
                          <m:sub>
                            <m:r>
                              <a:rPr lang="es-ES" sz="1100" b="0" i="1">
                                <a:solidFill>
                                  <a:schemeClr val="tx1"/>
                                </a:solidFill>
                                <a:effectLst/>
                                <a:latin typeface="Cambria Math" panose="02040503050406030204" pitchFamily="18" charset="0"/>
                                <a:ea typeface="Cambria Math" panose="02040503050406030204" pitchFamily="18" charset="0"/>
                                <a:cs typeface="+mn-cs"/>
                              </a:rPr>
                              <m:t>𝑚𝑎𝑥</m:t>
                            </m:r>
                          </m:sub>
                        </m:sSub>
                      </m:num>
                      <m:den>
                        <m:r>
                          <a:rPr lang="es-ES" sz="1100" b="0" i="1">
                            <a:solidFill>
                              <a:schemeClr val="tx1"/>
                            </a:solidFill>
                            <a:effectLst/>
                            <a:latin typeface="Cambria Math" panose="02040503050406030204" pitchFamily="18" charset="0"/>
                            <a:ea typeface="Cambria Math" panose="02040503050406030204" pitchFamily="18" charset="0"/>
                            <a:cs typeface="+mn-cs"/>
                          </a:rPr>
                          <m:t>𝐴</m:t>
                        </m:r>
                      </m:den>
                    </m:f>
                    <m:r>
                      <a:rPr lang="es-ES" sz="1100" b="0" i="1">
                        <a:solidFill>
                          <a:schemeClr val="tx1"/>
                        </a:solidFill>
                        <a:effectLst/>
                        <a:latin typeface="Cambria Math" panose="02040503050406030204" pitchFamily="18" charset="0"/>
                        <a:ea typeface="Cambria Math" panose="02040503050406030204" pitchFamily="18" charset="0"/>
                        <a:cs typeface="+mn-cs"/>
                      </a:rPr>
                      <m:t>=</m:t>
                    </m:r>
                  </m:oMath>
                </m:oMathPara>
              </a14:m>
              <a:endParaRPr lang="es-ES" sz="1100"/>
            </a:p>
          </xdr:txBody>
        </xdr:sp>
      </mc:Choice>
      <mc:Fallback xmlns="">
        <xdr:sp macro="" textlink="">
          <xdr:nvSpPr>
            <xdr:cNvPr id="130" name="Formula_s_max">
              <a:extLst>
                <a:ext uri="{FF2B5EF4-FFF2-40B4-BE49-F238E27FC236}">
                  <a16:creationId xmlns:a16="http://schemas.microsoft.com/office/drawing/2014/main" id="{3E41CACA-B346-4AF2-B824-2D199C085F1B}"/>
                </a:ext>
              </a:extLst>
            </xdr:cNvPr>
            <xdr:cNvSpPr txBox="1"/>
          </xdr:nvSpPr>
          <xdr:spPr>
            <a:xfrm>
              <a:off x="1983082" y="16418540"/>
              <a:ext cx="847441" cy="44765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ctr">
              <a:noAutofit/>
            </a:bodyPr>
            <a:lstStyle/>
            <a:p>
              <a:pPr/>
              <a:r>
                <a:rPr lang="es-ES" sz="1100" b="0" i="0">
                  <a:solidFill>
                    <a:schemeClr val="tx1"/>
                  </a:solidFill>
                  <a:effectLst/>
                  <a:latin typeface="Cambria Math" panose="02040503050406030204" pitchFamily="18" charset="0"/>
                  <a:ea typeface="Cambria Math" panose="02040503050406030204" pitchFamily="18" charset="0"/>
                  <a:cs typeface="+mn-cs"/>
                </a:rPr>
                <a:t>𝜎=𝑁_𝑚𝑎𝑥/𝐴=</a:t>
              </a:r>
              <a:endParaRPr lang="es-ES" sz="1100"/>
            </a:p>
          </xdr:txBody>
        </xdr:sp>
      </mc:Fallback>
    </mc:AlternateContent>
    <xdr:clientData/>
  </xdr:twoCellAnchor>
  <xdr:twoCellAnchor>
    <xdr:from>
      <xdr:col>1</xdr:col>
      <xdr:colOff>266702</xdr:colOff>
      <xdr:row>64</xdr:row>
      <xdr:rowOff>458906</xdr:rowOff>
    </xdr:from>
    <xdr:to>
      <xdr:col>6</xdr:col>
      <xdr:colOff>59269</xdr:colOff>
      <xdr:row>67</xdr:row>
      <xdr:rowOff>71964</xdr:rowOff>
    </xdr:to>
    <mc:AlternateContent xmlns:mc="http://schemas.openxmlformats.org/markup-compatibility/2006" xmlns:a14="http://schemas.microsoft.com/office/drawing/2010/main">
      <mc:Choice Requires="a14">
        <xdr:sp macro="" textlink="">
          <xdr:nvSpPr>
            <xdr:cNvPr id="17" name="Fórmula Esbeltez y Radio GIro">
              <a:extLst>
                <a:ext uri="{FF2B5EF4-FFF2-40B4-BE49-F238E27FC236}">
                  <a16:creationId xmlns:a16="http://schemas.microsoft.com/office/drawing/2014/main" id="{DEAECED4-CF92-4C70-A6B0-B483B52A64B8}"/>
                </a:ext>
              </a:extLst>
            </xdr:cNvPr>
            <xdr:cNvSpPr/>
          </xdr:nvSpPr>
          <xdr:spPr>
            <a:xfrm>
              <a:off x="389469" y="19178706"/>
              <a:ext cx="2146300" cy="548625"/>
            </a:xfrm>
            <a:prstGeom prst="rect">
              <a:avLst/>
            </a:prstGeom>
          </xdr:spPr>
          <xdr:txBody>
            <a:bodyPr wrap="square">
              <a:noAutofit/>
            </a:bodyPr>
            <a:lstStyle>
              <a:defPPr>
                <a:defRPr lang="es-E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20000"/>
                </a:lnSpc>
                <a:spcBef>
                  <a:spcPts val="600"/>
                </a:spcBef>
              </a:pPr>
              <a14:m>
                <m:oMathPara xmlns:m="http://schemas.openxmlformats.org/officeDocument/2006/math">
                  <m:oMathParaPr>
                    <m:jc m:val="left"/>
                  </m:oMathParaPr>
                  <m:oMath xmlns:m="http://schemas.openxmlformats.org/officeDocument/2006/math">
                    <m:r>
                      <a:rPr lang="es-ES_tradnl" sz="1100" i="1" kern="1200">
                        <a:solidFill>
                          <a:schemeClr val="tx1"/>
                        </a:solidFill>
                        <a:effectLst/>
                        <a:latin typeface="Cambria Math" panose="02040503050406030204" pitchFamily="18" charset="0"/>
                        <a:ea typeface="+mn-ea"/>
                        <a:cs typeface="+mn-cs"/>
                      </a:rPr>
                      <m:t>𝜆</m:t>
                    </m:r>
                    <m:r>
                      <a:rPr lang="es-ES_tradnl" sz="1100" i="1">
                        <a:latin typeface="Cambria Math" panose="02040503050406030204" pitchFamily="18" charset="0"/>
                        <a:ea typeface="Cambria Math" panose="02040503050406030204" pitchFamily="18" charset="0"/>
                      </a:rPr>
                      <m:t>=</m:t>
                    </m:r>
                    <m:f>
                      <m:fPr>
                        <m:ctrlPr>
                          <a:rPr lang="es-ES_tradnl" sz="1100" i="1" kern="1200">
                            <a:solidFill>
                              <a:schemeClr val="tx1"/>
                            </a:solidFill>
                            <a:effectLst/>
                            <a:latin typeface="Cambria Math" panose="02040503050406030204" pitchFamily="18" charset="0"/>
                            <a:ea typeface="+mn-ea"/>
                            <a:cs typeface="+mn-cs"/>
                          </a:rPr>
                        </m:ctrlPr>
                      </m:fPr>
                      <m:num>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𝐿</m:t>
                            </m:r>
                          </m:e>
                          <m:sub>
                            <m:r>
                              <a:rPr lang="es-ES" sz="1100" b="0" i="1" kern="1200">
                                <a:solidFill>
                                  <a:schemeClr val="tx1"/>
                                </a:solidFill>
                                <a:effectLst/>
                                <a:latin typeface="Cambria Math" panose="02040503050406030204" pitchFamily="18" charset="0"/>
                                <a:ea typeface="+mn-ea"/>
                                <a:cs typeface="+mn-cs"/>
                              </a:rPr>
                              <m:t>𝑚𝑎𝑥</m:t>
                            </m:r>
                          </m:sub>
                        </m:sSub>
                        <m:r>
                          <a:rPr lang="es-ES_tradnl" sz="1100" b="0" i="1" kern="1200">
                            <a:solidFill>
                              <a:schemeClr val="tx1"/>
                            </a:solidFill>
                            <a:effectLst/>
                            <a:latin typeface="Cambria Math" panose="02040503050406030204" pitchFamily="18" charset="0"/>
                            <a:ea typeface="+mn-ea"/>
                            <a:cs typeface="+mn-cs"/>
                          </a:rPr>
                          <m:t>·</m:t>
                        </m:r>
                        <m:r>
                          <a:rPr lang="es-ES_tradnl" sz="1100" b="0" i="1" kern="1200">
                            <a:solidFill>
                              <a:schemeClr val="tx1"/>
                            </a:solidFill>
                            <a:effectLst/>
                            <a:latin typeface="Cambria Math" panose="02040503050406030204" pitchFamily="18" charset="0"/>
                            <a:ea typeface="+mn-ea"/>
                            <a:cs typeface="+mn-cs"/>
                          </a:rPr>
                          <m:t>𝛽</m:t>
                        </m:r>
                      </m:num>
                      <m:den>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𝑖</m:t>
                            </m:r>
                          </m:e>
                          <m:sub>
                            <m:r>
                              <a:rPr lang="es-ES" sz="1100" b="0" i="1" kern="1200">
                                <a:solidFill>
                                  <a:schemeClr val="tx1"/>
                                </a:solidFill>
                                <a:effectLst/>
                                <a:latin typeface="Cambria Math" panose="02040503050406030204" pitchFamily="18" charset="0"/>
                                <a:ea typeface="+mn-ea"/>
                                <a:cs typeface="+mn-cs"/>
                              </a:rPr>
                              <m:t>𝑚𝑖𝑛</m:t>
                            </m:r>
                          </m:sub>
                        </m:sSub>
                      </m:den>
                    </m:f>
                    <m:r>
                      <a:rPr lang="es-ES" sz="1100" b="0" i="1" kern="1200">
                        <a:solidFill>
                          <a:schemeClr val="tx1"/>
                        </a:solidFill>
                        <a:effectLst/>
                        <a:latin typeface="Cambria Math" panose="02040503050406030204" pitchFamily="18" charset="0"/>
                        <a:ea typeface="+mn-ea"/>
                        <a:cs typeface="+mn-cs"/>
                      </a:rPr>
                      <m:t>      ;  </m:t>
                    </m:r>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𝑖</m:t>
                        </m:r>
                      </m:e>
                      <m:sub>
                        <m:r>
                          <a:rPr lang="es-ES" sz="1100" b="0" i="1" kern="1200">
                            <a:solidFill>
                              <a:schemeClr val="tx1"/>
                            </a:solidFill>
                            <a:effectLst/>
                            <a:latin typeface="Cambria Math" panose="02040503050406030204" pitchFamily="18" charset="0"/>
                            <a:ea typeface="+mn-ea"/>
                            <a:cs typeface="+mn-cs"/>
                          </a:rPr>
                          <m:t>𝑚𝑖𝑛</m:t>
                        </m:r>
                      </m:sub>
                    </m:sSub>
                    <m:r>
                      <a:rPr lang="es-ES_tradnl" sz="1100" i="1" kern="1200">
                        <a:solidFill>
                          <a:schemeClr val="tx1"/>
                        </a:solidFill>
                        <a:effectLst/>
                        <a:latin typeface="Cambria Math" panose="02040503050406030204" pitchFamily="18" charset="0"/>
                        <a:ea typeface="+mn-ea"/>
                        <a:cs typeface="+mn-cs"/>
                      </a:rPr>
                      <m:t>=</m:t>
                    </m:r>
                    <m:f>
                      <m:fPr>
                        <m:ctrlPr>
                          <a:rPr lang="es-ES_tradnl" sz="1100" i="1" kern="1200">
                            <a:solidFill>
                              <a:schemeClr val="tx1"/>
                            </a:solidFill>
                            <a:effectLst/>
                            <a:latin typeface="Cambria Math" panose="02040503050406030204" pitchFamily="18" charset="0"/>
                            <a:ea typeface="+mn-ea"/>
                            <a:cs typeface="+mn-cs"/>
                          </a:rPr>
                        </m:ctrlPr>
                      </m:fPr>
                      <m:num>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𝐿</m:t>
                            </m:r>
                          </m:e>
                          <m:sub>
                            <m:r>
                              <a:rPr lang="es-ES" sz="1100" b="0" i="1" kern="1200">
                                <a:solidFill>
                                  <a:schemeClr val="tx1"/>
                                </a:solidFill>
                                <a:effectLst/>
                                <a:latin typeface="Cambria Math" panose="02040503050406030204" pitchFamily="18" charset="0"/>
                                <a:ea typeface="+mn-ea"/>
                                <a:cs typeface="+mn-cs"/>
                              </a:rPr>
                              <m:t>𝑚𝑎𝑥</m:t>
                            </m:r>
                          </m:sub>
                        </m:sSub>
                      </m:num>
                      <m:den>
                        <m:r>
                          <a:rPr lang="es-ES_tradnl" sz="1100" i="1" kern="1200">
                            <a:solidFill>
                              <a:schemeClr val="tx1"/>
                            </a:solidFill>
                            <a:effectLst/>
                            <a:latin typeface="Cambria Math" panose="02040503050406030204" pitchFamily="18" charset="0"/>
                            <a:ea typeface="+mn-ea"/>
                            <a:cs typeface="+mn-cs"/>
                          </a:rPr>
                          <m:t>𝜆</m:t>
                        </m:r>
                      </m:den>
                    </m:f>
                    <m:r>
                      <a:rPr lang="es-ES" sz="1100" b="0" i="1" kern="1200">
                        <a:solidFill>
                          <a:schemeClr val="tx1"/>
                        </a:solidFill>
                        <a:effectLst/>
                        <a:latin typeface="Cambria Math" panose="02040503050406030204" pitchFamily="18" charset="0"/>
                        <a:ea typeface="+mn-ea"/>
                        <a:cs typeface="+mn-cs"/>
                      </a:rPr>
                      <m:t>=</m:t>
                    </m:r>
                  </m:oMath>
                </m:oMathPara>
              </a14:m>
              <a:br>
                <a:rPr lang="es-ES_tradnl" sz="1100" b="0" i="1">
                  <a:latin typeface="Cambria Math" panose="02040503050406030204" pitchFamily="18" charset="0"/>
                  <a:ea typeface="Cambria Math" panose="02040503050406030204" pitchFamily="18" charset="0"/>
                </a:rPr>
              </a:br>
              <a:endParaRPr lang="es-ES_tradnl" sz="1100">
                <a:latin typeface="Cambria" panose="02040503050406030204" pitchFamily="18" charset="0"/>
                <a:ea typeface="Cambria Math" panose="02040503050406030204" pitchFamily="18" charset="0"/>
              </a:endParaRPr>
            </a:p>
          </xdr:txBody>
        </xdr:sp>
      </mc:Choice>
      <mc:Fallback xmlns="">
        <xdr:sp macro="" textlink="">
          <xdr:nvSpPr>
            <xdr:cNvPr id="17" name="Fórmula Esbeltez y Radio GIro">
              <a:extLst>
                <a:ext uri="{FF2B5EF4-FFF2-40B4-BE49-F238E27FC236}">
                  <a16:creationId xmlns:a16="http://schemas.microsoft.com/office/drawing/2014/main" id="{DEAECED4-CF92-4C70-A6B0-B483B52A64B8}"/>
                </a:ext>
              </a:extLst>
            </xdr:cNvPr>
            <xdr:cNvSpPr/>
          </xdr:nvSpPr>
          <xdr:spPr>
            <a:xfrm>
              <a:off x="389469" y="19178706"/>
              <a:ext cx="2146300" cy="548625"/>
            </a:xfrm>
            <a:prstGeom prst="rect">
              <a:avLst/>
            </a:prstGeom>
          </xdr:spPr>
          <xdr:txBody>
            <a:bodyPr wrap="square">
              <a:noAutofit/>
            </a:bodyPr>
            <a:lstStyle>
              <a:defPPr>
                <a:defRPr lang="es-E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20000"/>
                </a:lnSpc>
                <a:spcBef>
                  <a:spcPts val="600"/>
                </a:spcBef>
              </a:pPr>
              <a:r>
                <a:rPr lang="es-ES_tradnl" sz="1100" i="0" kern="1200">
                  <a:solidFill>
                    <a:schemeClr val="tx1"/>
                  </a:solidFill>
                  <a:effectLst/>
                  <a:latin typeface="Cambria Math" panose="02040503050406030204" pitchFamily="18" charset="0"/>
                  <a:ea typeface="+mn-ea"/>
                  <a:cs typeface="+mn-cs"/>
                </a:rPr>
                <a:t>𝜆</a:t>
              </a:r>
              <a:r>
                <a:rPr lang="es-ES_tradnl" sz="1100" i="0">
                  <a:latin typeface="Cambria Math" panose="02040503050406030204" pitchFamily="18" charset="0"/>
                  <a:ea typeface="Cambria Math" panose="02040503050406030204" pitchFamily="18" charset="0"/>
                </a:rPr>
                <a:t>=</a:t>
              </a:r>
              <a:r>
                <a:rPr lang="es-ES_tradnl" sz="110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𝐿</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𝑚𝑎𝑥</a:t>
              </a:r>
              <a:r>
                <a:rPr lang="es-ES_tradnl" sz="1100" b="0" i="0" kern="1200">
                  <a:solidFill>
                    <a:schemeClr val="tx1"/>
                  </a:solidFill>
                  <a:effectLst/>
                  <a:latin typeface="Cambria Math" panose="02040503050406030204" pitchFamily="18" charset="0"/>
                  <a:ea typeface="+mn-ea"/>
                  <a:cs typeface="+mn-cs"/>
                </a:rPr>
                <a:t>·𝛽)/</a:t>
              </a:r>
              <a:r>
                <a:rPr lang="es-ES" sz="1100" b="0" i="0" kern="1200">
                  <a:solidFill>
                    <a:schemeClr val="tx1"/>
                  </a:solidFill>
                  <a:effectLst/>
                  <a:latin typeface="Cambria Math" panose="02040503050406030204" pitchFamily="18" charset="0"/>
                  <a:ea typeface="+mn-ea"/>
                  <a:cs typeface="+mn-cs"/>
                </a:rPr>
                <a:t>𝑖</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𝑚𝑖𝑛        ;  𝑖</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𝑚𝑖𝑛</a:t>
              </a:r>
              <a:r>
                <a:rPr lang="es-ES_tradnl" sz="110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𝐿</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𝑚𝑎𝑥</a:t>
              </a:r>
              <a:r>
                <a:rPr lang="es-ES_tradnl" sz="1100" b="0" i="0" kern="1200">
                  <a:solidFill>
                    <a:schemeClr val="tx1"/>
                  </a:solidFill>
                  <a:effectLst/>
                  <a:latin typeface="Cambria Math" panose="02040503050406030204" pitchFamily="18" charset="0"/>
                  <a:ea typeface="+mn-ea"/>
                  <a:cs typeface="+mn-cs"/>
                </a:rPr>
                <a:t>/</a:t>
              </a:r>
              <a:r>
                <a:rPr lang="es-ES_tradnl" sz="1100" i="0" kern="1200">
                  <a:solidFill>
                    <a:schemeClr val="tx1"/>
                  </a:solidFill>
                  <a:effectLst/>
                  <a:latin typeface="Cambria Math" panose="02040503050406030204" pitchFamily="18" charset="0"/>
                  <a:ea typeface="+mn-ea"/>
                  <a:cs typeface="+mn-cs"/>
                </a:rPr>
                <a:t>𝜆</a:t>
              </a:r>
              <a:r>
                <a:rPr lang="es-ES" sz="1100" b="0" i="0" kern="1200">
                  <a:solidFill>
                    <a:schemeClr val="tx1"/>
                  </a:solidFill>
                  <a:effectLst/>
                  <a:latin typeface="Cambria Math" panose="02040503050406030204" pitchFamily="18" charset="0"/>
                  <a:ea typeface="+mn-ea"/>
                  <a:cs typeface="+mn-cs"/>
                </a:rPr>
                <a:t>=</a:t>
              </a:r>
              <a:br>
                <a:rPr lang="es-ES_tradnl" sz="1100" b="0" i="1">
                  <a:latin typeface="Cambria Math" panose="02040503050406030204" pitchFamily="18" charset="0"/>
                  <a:ea typeface="Cambria Math" panose="02040503050406030204" pitchFamily="18" charset="0"/>
                </a:rPr>
              </a:br>
              <a:endParaRPr lang="es-ES_tradnl" sz="1100">
                <a:latin typeface="Cambria" panose="02040503050406030204" pitchFamily="18" charset="0"/>
                <a:ea typeface="Cambria Math" panose="02040503050406030204" pitchFamily="18" charset="0"/>
              </a:endParaRPr>
            </a:p>
          </xdr:txBody>
        </xdr:sp>
      </mc:Fallback>
    </mc:AlternateContent>
    <xdr:clientData/>
  </xdr:twoCellAnchor>
  <xdr:twoCellAnchor>
    <xdr:from>
      <xdr:col>9</xdr:col>
      <xdr:colOff>178467</xdr:colOff>
      <xdr:row>64</xdr:row>
      <xdr:rowOff>309033</xdr:rowOff>
    </xdr:from>
    <xdr:to>
      <xdr:col>11</xdr:col>
      <xdr:colOff>385982</xdr:colOff>
      <xdr:row>67</xdr:row>
      <xdr:rowOff>12699</xdr:rowOff>
    </xdr:to>
    <mc:AlternateContent xmlns:mc="http://schemas.openxmlformats.org/markup-compatibility/2006" xmlns:a14="http://schemas.microsoft.com/office/drawing/2010/main">
      <mc:Choice Requires="a14">
        <xdr:sp macro="" textlink="">
          <xdr:nvSpPr>
            <xdr:cNvPr id="15" name="Fórmula Radio Giro">
              <a:extLst>
                <a:ext uri="{FF2B5EF4-FFF2-40B4-BE49-F238E27FC236}">
                  <a16:creationId xmlns:a16="http://schemas.microsoft.com/office/drawing/2014/main" id="{5DF1387A-3988-482D-8879-8E64A3D612D8}"/>
                </a:ext>
              </a:extLst>
            </xdr:cNvPr>
            <xdr:cNvSpPr/>
          </xdr:nvSpPr>
          <xdr:spPr>
            <a:xfrm>
              <a:off x="3855656" y="18968903"/>
              <a:ext cx="1004378" cy="641639"/>
            </a:xfrm>
            <a:prstGeom prst="rect">
              <a:avLst/>
            </a:prstGeom>
          </xdr:spPr>
          <xdr:txBody>
            <a:bodyPr wrap="square">
              <a:noAutofit/>
            </a:bodyPr>
            <a:lstStyle>
              <a:defPPr>
                <a:defRPr lang="es-E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20000"/>
                </a:lnSpc>
                <a:spcBef>
                  <a:spcPts val="600"/>
                </a:spcBef>
              </a:pPr>
              <a14:m>
                <m:oMathPara xmlns:m="http://schemas.openxmlformats.org/officeDocument/2006/math">
                  <m:oMathParaPr>
                    <m:jc m:val="left"/>
                  </m:oMathParaPr>
                  <m:oMath xmlns:m="http://schemas.openxmlformats.org/officeDocument/2006/math">
                    <m:sSub>
                      <m:sSubPr>
                        <m:ctrlPr>
                          <a:rPr lang="es-ES_tradnl" sz="1100" b="0" i="1" kern="1200">
                            <a:solidFill>
                              <a:schemeClr val="tx1"/>
                            </a:solidFill>
                            <a:effectLst/>
                            <a:latin typeface="Cambria Math" panose="02040503050406030204" pitchFamily="18" charset="0"/>
                            <a:ea typeface="+mn-ea"/>
                            <a:cs typeface="+mn-cs"/>
                          </a:rPr>
                        </m:ctrlPr>
                      </m:sSubPr>
                      <m:e>
                        <m:r>
                          <a:rPr lang="es-ES" sz="1100" b="0" i="1" kern="1200">
                            <a:solidFill>
                              <a:schemeClr val="tx1"/>
                            </a:solidFill>
                            <a:effectLst/>
                            <a:latin typeface="Cambria Math" panose="02040503050406030204" pitchFamily="18" charset="0"/>
                            <a:ea typeface="+mn-ea"/>
                            <a:cs typeface="+mn-cs"/>
                          </a:rPr>
                          <m:t>𝑖</m:t>
                        </m:r>
                      </m:e>
                      <m:sub>
                        <m:r>
                          <a:rPr lang="es-ES" sz="1100" b="0" i="1" kern="1200">
                            <a:solidFill>
                              <a:schemeClr val="tx1"/>
                            </a:solidFill>
                            <a:effectLst/>
                            <a:latin typeface="Cambria Math" panose="02040503050406030204" pitchFamily="18" charset="0"/>
                            <a:ea typeface="+mn-ea"/>
                            <a:cs typeface="+mn-cs"/>
                          </a:rPr>
                          <m:t>𝑚𝑖𝑛</m:t>
                        </m:r>
                      </m:sub>
                    </m:sSub>
                    <m:r>
                      <a:rPr lang="es-ES_tradnl" sz="1100" i="1" kern="1200">
                        <a:solidFill>
                          <a:schemeClr val="tx1"/>
                        </a:solidFill>
                        <a:effectLst/>
                        <a:latin typeface="Cambria Math" panose="02040503050406030204" pitchFamily="18" charset="0"/>
                        <a:ea typeface="+mn-ea"/>
                        <a:cs typeface="+mn-cs"/>
                      </a:rPr>
                      <m:t>=</m:t>
                    </m:r>
                    <m:rad>
                      <m:radPr>
                        <m:degHide m:val="on"/>
                        <m:ctrlPr>
                          <a:rPr lang="es-ES_tradnl" sz="1100" i="1" kern="1200">
                            <a:solidFill>
                              <a:schemeClr val="tx1"/>
                            </a:solidFill>
                            <a:effectLst/>
                            <a:latin typeface="Cambria Math" panose="02040503050406030204" pitchFamily="18" charset="0"/>
                            <a:ea typeface="+mn-ea"/>
                            <a:cs typeface="+mn-cs"/>
                          </a:rPr>
                        </m:ctrlPr>
                      </m:radPr>
                      <m:deg/>
                      <m:e>
                        <m:f>
                          <m:fPr>
                            <m:ctrlPr>
                              <a:rPr lang="es-ES_tradnl" sz="1100" i="1" kern="1200">
                                <a:solidFill>
                                  <a:schemeClr val="tx1"/>
                                </a:solidFill>
                                <a:effectLst/>
                                <a:latin typeface="Cambria Math" panose="02040503050406030204" pitchFamily="18" charset="0"/>
                                <a:ea typeface="+mn-ea"/>
                                <a:cs typeface="+mn-cs"/>
                              </a:rPr>
                            </m:ctrlPr>
                          </m:fPr>
                          <m:num>
                            <m:r>
                              <a:rPr lang="es-ES" sz="1100" b="0" i="1" kern="1200">
                                <a:solidFill>
                                  <a:schemeClr val="tx1"/>
                                </a:solidFill>
                                <a:effectLst/>
                                <a:latin typeface="Cambria Math" panose="02040503050406030204" pitchFamily="18" charset="0"/>
                                <a:ea typeface="+mn-ea"/>
                                <a:cs typeface="+mn-cs"/>
                              </a:rPr>
                              <m:t>𝐼</m:t>
                            </m:r>
                          </m:num>
                          <m:den>
                            <m:r>
                              <a:rPr lang="es-ES" sz="1100" b="0" i="1" kern="1200">
                                <a:solidFill>
                                  <a:schemeClr val="tx1"/>
                                </a:solidFill>
                                <a:effectLst/>
                                <a:latin typeface="Cambria Math" panose="02040503050406030204" pitchFamily="18" charset="0"/>
                                <a:ea typeface="+mn-ea"/>
                                <a:cs typeface="+mn-cs"/>
                              </a:rPr>
                              <m:t>𝐴</m:t>
                            </m:r>
                          </m:den>
                        </m:f>
                      </m:e>
                    </m:rad>
                    <m:r>
                      <a:rPr lang="es-ES" sz="1100" b="0" i="1" kern="1200">
                        <a:solidFill>
                          <a:schemeClr val="tx1"/>
                        </a:solidFill>
                        <a:effectLst/>
                        <a:latin typeface="Cambria Math" panose="02040503050406030204" pitchFamily="18" charset="0"/>
                        <a:ea typeface="+mn-ea"/>
                        <a:cs typeface="+mn-cs"/>
                      </a:rPr>
                      <m:t>=</m:t>
                    </m:r>
                  </m:oMath>
                </m:oMathPara>
              </a14:m>
              <a:br>
                <a:rPr lang="es-ES_tradnl" sz="1100" b="0" i="1">
                  <a:latin typeface="Cambria Math" panose="02040503050406030204" pitchFamily="18" charset="0"/>
                  <a:ea typeface="Cambria Math" panose="02040503050406030204" pitchFamily="18" charset="0"/>
                </a:rPr>
              </a:br>
              <a:endParaRPr lang="es-ES_tradnl" sz="1100">
                <a:latin typeface="Cambria" panose="02040503050406030204" pitchFamily="18" charset="0"/>
                <a:ea typeface="Cambria Math" panose="02040503050406030204" pitchFamily="18" charset="0"/>
              </a:endParaRPr>
            </a:p>
          </xdr:txBody>
        </xdr:sp>
      </mc:Choice>
      <mc:Fallback xmlns="">
        <xdr:sp macro="" textlink="">
          <xdr:nvSpPr>
            <xdr:cNvPr id="15" name="Fórmula Radio Giro">
              <a:extLst>
                <a:ext uri="{FF2B5EF4-FFF2-40B4-BE49-F238E27FC236}">
                  <a16:creationId xmlns:a16="http://schemas.microsoft.com/office/drawing/2014/main" id="{5DF1387A-3988-482D-8879-8E64A3D612D8}"/>
                </a:ext>
              </a:extLst>
            </xdr:cNvPr>
            <xdr:cNvSpPr/>
          </xdr:nvSpPr>
          <xdr:spPr>
            <a:xfrm>
              <a:off x="3855656" y="18968903"/>
              <a:ext cx="1004378" cy="641639"/>
            </a:xfrm>
            <a:prstGeom prst="rect">
              <a:avLst/>
            </a:prstGeom>
          </xdr:spPr>
          <xdr:txBody>
            <a:bodyPr wrap="square">
              <a:noAutofit/>
            </a:bodyPr>
            <a:lstStyle>
              <a:defPPr>
                <a:defRPr lang="es-E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nSpc>
                  <a:spcPct val="120000"/>
                </a:lnSpc>
                <a:spcBef>
                  <a:spcPts val="600"/>
                </a:spcBef>
              </a:pPr>
              <a:r>
                <a:rPr lang="es-ES" sz="1100" b="0" i="0" kern="1200">
                  <a:solidFill>
                    <a:schemeClr val="tx1"/>
                  </a:solidFill>
                  <a:effectLst/>
                  <a:latin typeface="Cambria Math" panose="02040503050406030204" pitchFamily="18" charset="0"/>
                  <a:ea typeface="+mn-ea"/>
                  <a:cs typeface="+mn-cs"/>
                </a:rPr>
                <a:t>𝑖</a:t>
              </a:r>
              <a:r>
                <a:rPr lang="es-ES_tradnl" sz="1100" b="0" i="0" kern="1200">
                  <a:solidFill>
                    <a:schemeClr val="tx1"/>
                  </a:solidFill>
                  <a:effectLst/>
                  <a:latin typeface="Cambria Math" panose="02040503050406030204" pitchFamily="18" charset="0"/>
                  <a:ea typeface="+mn-ea"/>
                  <a:cs typeface="+mn-cs"/>
                </a:rPr>
                <a:t>_</a:t>
              </a:r>
              <a:r>
                <a:rPr lang="es-ES" sz="1100" b="0" i="0" kern="1200">
                  <a:solidFill>
                    <a:schemeClr val="tx1"/>
                  </a:solidFill>
                  <a:effectLst/>
                  <a:latin typeface="Cambria Math" panose="02040503050406030204" pitchFamily="18" charset="0"/>
                  <a:ea typeface="+mn-ea"/>
                  <a:cs typeface="+mn-cs"/>
                </a:rPr>
                <a:t>𝑚𝑖𝑛</a:t>
              </a:r>
              <a:r>
                <a:rPr lang="es-ES_tradnl" sz="110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𝐼</a:t>
              </a:r>
              <a:r>
                <a:rPr lang="es-ES_tradnl" sz="1100" b="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𝐴</a:t>
              </a:r>
              <a:r>
                <a:rPr lang="es-ES_tradnl" sz="1100" b="0" i="0" kern="1200">
                  <a:solidFill>
                    <a:schemeClr val="tx1"/>
                  </a:solidFill>
                  <a:effectLst/>
                  <a:latin typeface="Cambria Math" panose="02040503050406030204" pitchFamily="18" charset="0"/>
                  <a:ea typeface="+mn-ea"/>
                  <a:cs typeface="+mn-cs"/>
                </a:rPr>
                <a:t>)</a:t>
              </a:r>
              <a:r>
                <a:rPr lang="es-ES" sz="1100" b="0" i="0" kern="1200">
                  <a:solidFill>
                    <a:schemeClr val="tx1"/>
                  </a:solidFill>
                  <a:effectLst/>
                  <a:latin typeface="Cambria Math" panose="02040503050406030204" pitchFamily="18" charset="0"/>
                  <a:ea typeface="+mn-ea"/>
                  <a:cs typeface="+mn-cs"/>
                </a:rPr>
                <a:t>=</a:t>
              </a:r>
              <a:br>
                <a:rPr lang="es-ES_tradnl" sz="1100" b="0" i="1">
                  <a:latin typeface="Cambria Math" panose="02040503050406030204" pitchFamily="18" charset="0"/>
                  <a:ea typeface="Cambria Math" panose="02040503050406030204" pitchFamily="18" charset="0"/>
                </a:rPr>
              </a:br>
              <a:endParaRPr lang="es-ES_tradnl" sz="1100">
                <a:latin typeface="Cambria" panose="02040503050406030204" pitchFamily="18" charset="0"/>
                <a:ea typeface="Cambria Math" panose="02040503050406030204" pitchFamily="18" charset="0"/>
              </a:endParaRPr>
            </a:p>
          </xdr:txBody>
        </xdr:sp>
      </mc:Fallback>
    </mc:AlternateContent>
    <xdr:clientData/>
  </xdr:twoCellAnchor>
  <xdr:twoCellAnchor>
    <xdr:from>
      <xdr:col>7</xdr:col>
      <xdr:colOff>342632</xdr:colOff>
      <xdr:row>39</xdr:row>
      <xdr:rowOff>293038</xdr:rowOff>
    </xdr:from>
    <xdr:to>
      <xdr:col>12</xdr:col>
      <xdr:colOff>52383</xdr:colOff>
      <xdr:row>41</xdr:row>
      <xdr:rowOff>317559</xdr:rowOff>
    </xdr:to>
    <xdr:grpSp>
      <xdr:nvGrpSpPr>
        <xdr:cNvPr id="158" name="NUDO A">
          <a:extLst>
            <a:ext uri="{FF2B5EF4-FFF2-40B4-BE49-F238E27FC236}">
              <a16:creationId xmlns:a16="http://schemas.microsoft.com/office/drawing/2014/main" id="{7A530A54-EC44-199E-BF84-CD774911B938}"/>
            </a:ext>
          </a:extLst>
        </xdr:cNvPr>
        <xdr:cNvGrpSpPr/>
      </xdr:nvGrpSpPr>
      <xdr:grpSpPr>
        <a:xfrm>
          <a:off x="3225104" y="10086783"/>
          <a:ext cx="1707504" cy="785570"/>
          <a:chOff x="3510429" y="9285886"/>
          <a:chExt cx="1704535" cy="789824"/>
        </a:xfrm>
      </xdr:grpSpPr>
      <xdr:cxnSp macro="">
        <xdr:nvCxnSpPr>
          <xdr:cNvPr id="11" name="Barra AB">
            <a:extLst>
              <a:ext uri="{FF2B5EF4-FFF2-40B4-BE49-F238E27FC236}">
                <a16:creationId xmlns:a16="http://schemas.microsoft.com/office/drawing/2014/main" id="{10BC42E1-42C8-45F6-BFA8-6F75BD269CAC}"/>
              </a:ext>
            </a:extLst>
          </xdr:cNvPr>
          <xdr:cNvCxnSpPr/>
        </xdr:nvCxnSpPr>
        <xdr:spPr>
          <a:xfrm>
            <a:off x="4672425" y="9691249"/>
            <a:ext cx="330162" cy="0"/>
          </a:xfrm>
          <a:prstGeom prst="line">
            <a:avLst/>
          </a:prstGeom>
          <a:ln w="31750">
            <a:solidFill>
              <a:schemeClr val="tx1"/>
            </a:solidFill>
            <a:headEnd type="oval"/>
            <a:tailEnd type="triangle"/>
          </a:ln>
        </xdr:spPr>
        <xdr:style>
          <a:lnRef idx="1">
            <a:schemeClr val="accent1"/>
          </a:lnRef>
          <a:fillRef idx="0">
            <a:schemeClr val="accent1"/>
          </a:fillRef>
          <a:effectRef idx="0">
            <a:schemeClr val="accent1"/>
          </a:effectRef>
          <a:fontRef idx="minor">
            <a:schemeClr val="tx1"/>
          </a:fontRef>
        </xdr:style>
      </xdr:cxnSp>
      <xdr:cxnSp macro="">
        <xdr:nvCxnSpPr>
          <xdr:cNvPr id="12" name="Barra AD">
            <a:extLst>
              <a:ext uri="{FF2B5EF4-FFF2-40B4-BE49-F238E27FC236}">
                <a16:creationId xmlns:a16="http://schemas.microsoft.com/office/drawing/2014/main" id="{9970A461-A196-4DF3-B8F7-4414FFBC0986}"/>
              </a:ext>
            </a:extLst>
          </xdr:cNvPr>
          <xdr:cNvCxnSpPr>
            <a:cxnSpLocks/>
          </xdr:cNvCxnSpPr>
        </xdr:nvCxnSpPr>
        <xdr:spPr>
          <a:xfrm flipV="1">
            <a:off x="4665638" y="9391125"/>
            <a:ext cx="233718" cy="307205"/>
          </a:xfrm>
          <a:prstGeom prst="line">
            <a:avLst/>
          </a:prstGeom>
          <a:ln w="317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Pv_A_Ver">
        <xdr:nvSpPr>
          <xdr:cNvPr id="19" name="P_v_A">
            <a:extLst>
              <a:ext uri="{FF2B5EF4-FFF2-40B4-BE49-F238E27FC236}">
                <a16:creationId xmlns:a16="http://schemas.microsoft.com/office/drawing/2014/main" id="{F115446F-CD00-4A79-8072-4E8081C48CD2}"/>
              </a:ext>
            </a:extLst>
          </xdr:cNvPr>
          <xdr:cNvSpPr txBox="1"/>
        </xdr:nvSpPr>
        <xdr:spPr>
          <a:xfrm>
            <a:off x="3630302" y="9742412"/>
            <a:ext cx="1092284" cy="21168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AA854EAE-05BF-4AF5-A65E-B1C38CF3180A}" type="TxLink">
              <a:rPr lang="en-US" sz="1200" b="1" i="0" u="none" strike="noStrike">
                <a:solidFill>
                  <a:srgbClr val="000000"/>
                </a:solidFill>
                <a:latin typeface="Calibri"/>
                <a:ea typeface="Calibri"/>
                <a:cs typeface="Calibri"/>
              </a:rPr>
              <a:pPr algn="r"/>
              <a:t>100 kN ↑</a:t>
            </a:fld>
            <a:endParaRPr lang="es-ES" sz="900" b="1">
              <a:solidFill>
                <a:schemeClr val="accent1">
                  <a:lumMod val="75000"/>
                </a:schemeClr>
              </a:solidFill>
            </a:endParaRPr>
          </a:p>
        </xdr:txBody>
      </xdr:sp>
      <xdr:sp macro="" textlink="Ph_A_Ver">
        <xdr:nvSpPr>
          <xdr:cNvPr id="20" name="P_h_A">
            <a:extLst>
              <a:ext uri="{FF2B5EF4-FFF2-40B4-BE49-F238E27FC236}">
                <a16:creationId xmlns:a16="http://schemas.microsoft.com/office/drawing/2014/main" id="{91634427-7BBC-475A-8CC6-8DF1A1CB129C}"/>
              </a:ext>
            </a:extLst>
          </xdr:cNvPr>
          <xdr:cNvSpPr txBox="1"/>
        </xdr:nvSpPr>
        <xdr:spPr>
          <a:xfrm>
            <a:off x="3510429" y="9592876"/>
            <a:ext cx="1096238" cy="171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68B9531-2667-403A-AD4C-CFC87B4AB054}" type="TxLink">
              <a:rPr lang="en-US" sz="1200" b="1" i="0" u="none" strike="noStrike">
                <a:solidFill>
                  <a:srgbClr val="000000"/>
                </a:solidFill>
                <a:latin typeface="Calibri"/>
                <a:ea typeface="Calibri"/>
                <a:cs typeface="Calibri"/>
              </a:rPr>
              <a:pPr algn="r"/>
              <a:t>50 kN ←</a:t>
            </a:fld>
            <a:endParaRPr lang="es-ES" sz="1000" b="1">
              <a:solidFill>
                <a:schemeClr val="accent1">
                  <a:lumMod val="75000"/>
                </a:schemeClr>
              </a:solidFill>
            </a:endParaRPr>
          </a:p>
        </xdr:txBody>
      </xdr:sp>
      <xdr:sp macro="" textlink="Apoyo_A_Fijo">
        <xdr:nvSpPr>
          <xdr:cNvPr id="21" name="Ap_A_Fijo">
            <a:extLst>
              <a:ext uri="{FF2B5EF4-FFF2-40B4-BE49-F238E27FC236}">
                <a16:creationId xmlns:a16="http://schemas.microsoft.com/office/drawing/2014/main" id="{2B1987EC-A758-4B85-A2E3-EEC8373EBF5E}"/>
              </a:ext>
            </a:extLst>
          </xdr:cNvPr>
          <xdr:cNvSpPr txBox="1"/>
        </xdr:nvSpPr>
        <xdr:spPr>
          <a:xfrm>
            <a:off x="3726034" y="9751849"/>
            <a:ext cx="985018" cy="323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063CDEC-D813-497A-B58D-09517CA2C34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A_Movil">
        <xdr:nvSpPr>
          <xdr:cNvPr id="23" name="Ap_A_Móvil">
            <a:extLst>
              <a:ext uri="{FF2B5EF4-FFF2-40B4-BE49-F238E27FC236}">
                <a16:creationId xmlns:a16="http://schemas.microsoft.com/office/drawing/2014/main" id="{FCBD5813-C047-48EC-8EC7-14DA018FE028}"/>
              </a:ext>
            </a:extLst>
          </xdr:cNvPr>
          <xdr:cNvSpPr txBox="1"/>
        </xdr:nvSpPr>
        <xdr:spPr>
          <a:xfrm>
            <a:off x="3780089" y="9750087"/>
            <a:ext cx="932210" cy="1992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602546A5-4404-4F00-983C-66674A3091F5}"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
        <xdr:nvSpPr>
          <xdr:cNvPr id="31" name="Ap_A_Libre">
            <a:extLst>
              <a:ext uri="{FF2B5EF4-FFF2-40B4-BE49-F238E27FC236}">
                <a16:creationId xmlns:a16="http://schemas.microsoft.com/office/drawing/2014/main" id="{2CAE4A97-70FF-4330-BD1C-85BC3F7BA110}"/>
              </a:ext>
            </a:extLst>
          </xdr:cNvPr>
          <xdr:cNvSpPr txBox="1"/>
        </xdr:nvSpPr>
        <xdr:spPr>
          <a:xfrm>
            <a:off x="4500658" y="9489283"/>
            <a:ext cx="224623" cy="2030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1000" b="1"/>
              <a:t>A</a:t>
            </a:r>
            <a:endParaRPr lang="en-US" b="1"/>
          </a:p>
        </xdr:txBody>
      </xdr:sp>
      <xdr:sp macro="" textlink="Ph_A_Ver">
        <xdr:nvSpPr>
          <xdr:cNvPr id="156" name="T_AD">
            <a:extLst>
              <a:ext uri="{FF2B5EF4-FFF2-40B4-BE49-F238E27FC236}">
                <a16:creationId xmlns:a16="http://schemas.microsoft.com/office/drawing/2014/main" id="{4C94A781-4C5C-4207-96CB-8DB61F353D93}"/>
              </a:ext>
            </a:extLst>
          </xdr:cNvPr>
          <xdr:cNvSpPr txBox="1"/>
        </xdr:nvSpPr>
        <xdr:spPr>
          <a:xfrm>
            <a:off x="4872607" y="9285886"/>
            <a:ext cx="255289" cy="22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AD</a:t>
            </a:r>
            <a:endParaRPr lang="es-ES" sz="1000" b="1">
              <a:solidFill>
                <a:schemeClr val="accent1">
                  <a:lumMod val="75000"/>
                </a:schemeClr>
              </a:solidFill>
            </a:endParaRPr>
          </a:p>
        </xdr:txBody>
      </xdr:sp>
      <xdr:sp macro="" textlink="">
        <xdr:nvSpPr>
          <xdr:cNvPr id="157" name="T_AB">
            <a:extLst>
              <a:ext uri="{FF2B5EF4-FFF2-40B4-BE49-F238E27FC236}">
                <a16:creationId xmlns:a16="http://schemas.microsoft.com/office/drawing/2014/main" id="{02F6AFB7-2109-4A03-9F4D-B9A50FA3F575}"/>
              </a:ext>
            </a:extLst>
          </xdr:cNvPr>
          <xdr:cNvSpPr txBox="1"/>
        </xdr:nvSpPr>
        <xdr:spPr>
          <a:xfrm>
            <a:off x="4959675" y="9604583"/>
            <a:ext cx="255289" cy="22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AB</a:t>
            </a:r>
          </a:p>
        </xdr:txBody>
      </xdr:sp>
    </xdr:grpSp>
    <xdr:clientData/>
  </xdr:twoCellAnchor>
  <xdr:twoCellAnchor>
    <xdr:from>
      <xdr:col>6</xdr:col>
      <xdr:colOff>373159</xdr:colOff>
      <xdr:row>44</xdr:row>
      <xdr:rowOff>316372</xdr:rowOff>
    </xdr:from>
    <xdr:to>
      <xdr:col>12</xdr:col>
      <xdr:colOff>270252</xdr:colOff>
      <xdr:row>46</xdr:row>
      <xdr:rowOff>329179</xdr:rowOff>
    </xdr:to>
    <xdr:grpSp>
      <xdr:nvGrpSpPr>
        <xdr:cNvPr id="161" name="NUDO C">
          <a:extLst>
            <a:ext uri="{FF2B5EF4-FFF2-40B4-BE49-F238E27FC236}">
              <a16:creationId xmlns:a16="http://schemas.microsoft.com/office/drawing/2014/main" id="{3908A0B9-A013-CD06-6937-3AB7FBA05E82}"/>
            </a:ext>
          </a:extLst>
        </xdr:cNvPr>
        <xdr:cNvGrpSpPr/>
      </xdr:nvGrpSpPr>
      <xdr:grpSpPr>
        <a:xfrm>
          <a:off x="2856080" y="12136409"/>
          <a:ext cx="2294397" cy="773857"/>
          <a:chOff x="3251027" y="11218420"/>
          <a:chExt cx="2290787" cy="778156"/>
        </a:xfrm>
      </xdr:grpSpPr>
      <xdr:cxnSp macro="">
        <xdr:nvCxnSpPr>
          <xdr:cNvPr id="144" name="Barra BC">
            <a:extLst>
              <a:ext uri="{FF2B5EF4-FFF2-40B4-BE49-F238E27FC236}">
                <a16:creationId xmlns:a16="http://schemas.microsoft.com/office/drawing/2014/main" id="{447C3C73-151E-47A2-AEC0-E33DC63B3BBF}"/>
              </a:ext>
            </a:extLst>
          </xdr:cNvPr>
          <xdr:cNvCxnSpPr/>
        </xdr:nvCxnSpPr>
        <xdr:spPr>
          <a:xfrm>
            <a:off x="4001314" y="11594178"/>
            <a:ext cx="387343" cy="0"/>
          </a:xfrm>
          <a:prstGeom prst="line">
            <a:avLst/>
          </a:prstGeom>
          <a:ln w="31750">
            <a:solidFill>
              <a:schemeClr val="tx1"/>
            </a:solidFill>
            <a:headEnd type="triangle"/>
            <a:tailEnd type="oval"/>
          </a:ln>
        </xdr:spPr>
        <xdr:style>
          <a:lnRef idx="1">
            <a:schemeClr val="accent1"/>
          </a:lnRef>
          <a:fillRef idx="0">
            <a:schemeClr val="accent1"/>
          </a:fillRef>
          <a:effectRef idx="0">
            <a:schemeClr val="accent1"/>
          </a:effectRef>
          <a:fontRef idx="minor">
            <a:schemeClr val="tx1"/>
          </a:fontRef>
        </xdr:style>
      </xdr:cxnSp>
      <xdr:cxnSp macro="">
        <xdr:nvCxnSpPr>
          <xdr:cNvPr id="145" name="Barra CE">
            <a:extLst>
              <a:ext uri="{FF2B5EF4-FFF2-40B4-BE49-F238E27FC236}">
                <a16:creationId xmlns:a16="http://schemas.microsoft.com/office/drawing/2014/main" id="{ECF258C0-F1C3-41E5-9F85-A4FD8287BADF}"/>
              </a:ext>
            </a:extLst>
          </xdr:cNvPr>
          <xdr:cNvCxnSpPr/>
        </xdr:nvCxnSpPr>
        <xdr:spPr>
          <a:xfrm flipH="1" flipV="1">
            <a:off x="4135641" y="11328237"/>
            <a:ext cx="281331" cy="298263"/>
          </a:xfrm>
          <a:prstGeom prst="line">
            <a:avLst/>
          </a:prstGeom>
          <a:ln w="31750">
            <a:solidFill>
              <a:schemeClr val="tx1"/>
            </a:solidFill>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Pv_C_Ver">
        <xdr:nvSpPr>
          <xdr:cNvPr id="146" name="P_v_C">
            <a:extLst>
              <a:ext uri="{FF2B5EF4-FFF2-40B4-BE49-F238E27FC236}">
                <a16:creationId xmlns:a16="http://schemas.microsoft.com/office/drawing/2014/main" id="{7FA19147-F35D-4E9A-8E85-82EC3D7D23E9}"/>
              </a:ext>
            </a:extLst>
          </xdr:cNvPr>
          <xdr:cNvSpPr txBox="1"/>
        </xdr:nvSpPr>
        <xdr:spPr>
          <a:xfrm>
            <a:off x="3337509" y="11638103"/>
            <a:ext cx="1127109" cy="2177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81162140-DC31-47F5-BBC5-488C38A07EBF}" type="TxLink">
              <a:rPr lang="en-US" sz="1200" b="1" i="0" u="none" strike="noStrike">
                <a:solidFill>
                  <a:srgbClr val="000000"/>
                </a:solidFill>
                <a:latin typeface="Calibri"/>
                <a:ea typeface="Calibri"/>
                <a:cs typeface="Calibri"/>
              </a:rPr>
              <a:pPr algn="r"/>
              <a:t> </a:t>
            </a:fld>
            <a:endParaRPr lang="es-ES" sz="1050" b="1">
              <a:solidFill>
                <a:schemeClr val="accent1">
                  <a:lumMod val="75000"/>
                </a:schemeClr>
              </a:solidFill>
            </a:endParaRPr>
          </a:p>
        </xdr:txBody>
      </xdr:sp>
      <xdr:sp macro="" textlink="Ph_C_Ver">
        <xdr:nvSpPr>
          <xdr:cNvPr id="147" name="P_h_C">
            <a:extLst>
              <a:ext uri="{FF2B5EF4-FFF2-40B4-BE49-F238E27FC236}">
                <a16:creationId xmlns:a16="http://schemas.microsoft.com/office/drawing/2014/main" id="{2D3FE581-E230-4FE6-B3AD-32F087FC3668}"/>
              </a:ext>
            </a:extLst>
          </xdr:cNvPr>
          <xdr:cNvSpPr txBox="1"/>
        </xdr:nvSpPr>
        <xdr:spPr>
          <a:xfrm>
            <a:off x="4468822" y="11514366"/>
            <a:ext cx="1072992" cy="1943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92BA71C9-CF62-4598-BDCB-537582002616}" type="TxLink">
              <a:rPr lang="en-US" sz="1200" b="1" i="0" u="none" strike="noStrike">
                <a:solidFill>
                  <a:srgbClr val="000000"/>
                </a:solidFill>
                <a:latin typeface="Calibri"/>
                <a:ea typeface="Calibri"/>
                <a:cs typeface="Calibri"/>
              </a:rPr>
              <a:pPr algn="l"/>
              <a:t> </a:t>
            </a:fld>
            <a:endParaRPr lang="es-ES" sz="1050" b="1">
              <a:solidFill>
                <a:schemeClr val="accent1">
                  <a:lumMod val="75000"/>
                </a:schemeClr>
              </a:solidFill>
            </a:endParaRPr>
          </a:p>
        </xdr:txBody>
      </xdr:sp>
      <xdr:sp macro="" textlink="Apoyo_C_Fijo">
        <xdr:nvSpPr>
          <xdr:cNvPr id="148" name="Ap_C_Fijo">
            <a:extLst>
              <a:ext uri="{FF2B5EF4-FFF2-40B4-BE49-F238E27FC236}">
                <a16:creationId xmlns:a16="http://schemas.microsoft.com/office/drawing/2014/main" id="{EED66FE5-9994-4601-80CE-6892BAA541F9}"/>
              </a:ext>
            </a:extLst>
          </xdr:cNvPr>
          <xdr:cNvSpPr txBox="1"/>
        </xdr:nvSpPr>
        <xdr:spPr>
          <a:xfrm>
            <a:off x="3251027" y="11661114"/>
            <a:ext cx="1200695" cy="33546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7F034824-3F83-447F-AD1D-5EF56467EFDD}" type="TxLink">
              <a:rPr lang="en-US" sz="900" b="1" i="0" u="none" strike="noStrike">
                <a:solidFill>
                  <a:srgbClr val="FF0000"/>
                </a:solidFill>
                <a:latin typeface="Calibri"/>
                <a:ea typeface="Calibri"/>
                <a:cs typeface="Calibri"/>
              </a:rPr>
              <a:pPr algn="r"/>
              <a:t>Rv C = 210,57 kN ↑ 
Rh C = 100 kN →</a:t>
            </a:fld>
            <a:endParaRPr lang="es-ES" sz="800">
              <a:solidFill>
                <a:srgbClr val="FF0000"/>
              </a:solidFill>
            </a:endParaRPr>
          </a:p>
        </xdr:txBody>
      </xdr:sp>
      <xdr:sp macro="" textlink="Apoyo_C_Movil">
        <xdr:nvSpPr>
          <xdr:cNvPr id="149" name="Ap_C_Móvil">
            <a:extLst>
              <a:ext uri="{FF2B5EF4-FFF2-40B4-BE49-F238E27FC236}">
                <a16:creationId xmlns:a16="http://schemas.microsoft.com/office/drawing/2014/main" id="{13CEB7E9-7580-4D41-B8EE-05A61246AC00}"/>
              </a:ext>
            </a:extLst>
          </xdr:cNvPr>
          <xdr:cNvSpPr txBox="1"/>
        </xdr:nvSpPr>
        <xdr:spPr>
          <a:xfrm>
            <a:off x="3331558" y="11661673"/>
            <a:ext cx="1117100" cy="14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r"/>
            <a:fld id="{DEF549F8-BDB8-4DFC-AACC-2E2DE06F8B6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
        <xdr:nvSpPr>
          <xdr:cNvPr id="150" name="Ap_C_Libre">
            <a:extLst>
              <a:ext uri="{FF2B5EF4-FFF2-40B4-BE49-F238E27FC236}">
                <a16:creationId xmlns:a16="http://schemas.microsoft.com/office/drawing/2014/main" id="{46F739D7-F0CE-4A5C-8C27-EB3C93D286D6}"/>
              </a:ext>
            </a:extLst>
          </xdr:cNvPr>
          <xdr:cNvSpPr txBox="1"/>
        </xdr:nvSpPr>
        <xdr:spPr>
          <a:xfrm>
            <a:off x="4332439" y="11373090"/>
            <a:ext cx="223329" cy="2040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1000" b="1"/>
              <a:t>C</a:t>
            </a:r>
            <a:endParaRPr lang="en-US" sz="900" b="1"/>
          </a:p>
        </xdr:txBody>
      </xdr:sp>
      <xdr:sp macro="" textlink="Ph_A_Ver">
        <xdr:nvSpPr>
          <xdr:cNvPr id="159" name="T_CE">
            <a:extLst>
              <a:ext uri="{FF2B5EF4-FFF2-40B4-BE49-F238E27FC236}">
                <a16:creationId xmlns:a16="http://schemas.microsoft.com/office/drawing/2014/main" id="{01E8041A-6AF2-4ACF-9316-8DA25823CF1D}"/>
              </a:ext>
            </a:extLst>
          </xdr:cNvPr>
          <xdr:cNvSpPr txBox="1"/>
        </xdr:nvSpPr>
        <xdr:spPr>
          <a:xfrm>
            <a:off x="3830393" y="11218420"/>
            <a:ext cx="255289" cy="22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CE</a:t>
            </a:r>
            <a:endParaRPr lang="es-ES" sz="900" b="1">
              <a:solidFill>
                <a:schemeClr val="accent1">
                  <a:lumMod val="75000"/>
                </a:schemeClr>
              </a:solidFill>
            </a:endParaRPr>
          </a:p>
        </xdr:txBody>
      </xdr:sp>
      <xdr:sp macro="" textlink="">
        <xdr:nvSpPr>
          <xdr:cNvPr id="160" name="T_BC">
            <a:extLst>
              <a:ext uri="{FF2B5EF4-FFF2-40B4-BE49-F238E27FC236}">
                <a16:creationId xmlns:a16="http://schemas.microsoft.com/office/drawing/2014/main" id="{EC6C0618-8FBD-4EA0-AE6C-47872F0EB9F1}"/>
              </a:ext>
            </a:extLst>
          </xdr:cNvPr>
          <xdr:cNvSpPr txBox="1"/>
        </xdr:nvSpPr>
        <xdr:spPr>
          <a:xfrm>
            <a:off x="3685606" y="11460286"/>
            <a:ext cx="255289" cy="2274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BC</a:t>
            </a:r>
          </a:p>
        </xdr:txBody>
      </xdr:sp>
    </xdr:grpSp>
    <xdr:clientData/>
  </xdr:twoCellAnchor>
  <xdr:twoCellAnchor>
    <xdr:from>
      <xdr:col>8</xdr:col>
      <xdr:colOff>28207</xdr:colOff>
      <xdr:row>49</xdr:row>
      <xdr:rowOff>362861</xdr:rowOff>
    </xdr:from>
    <xdr:to>
      <xdr:col>12</xdr:col>
      <xdr:colOff>281849</xdr:colOff>
      <xdr:row>51</xdr:row>
      <xdr:rowOff>337802</xdr:rowOff>
    </xdr:to>
    <xdr:grpSp>
      <xdr:nvGrpSpPr>
        <xdr:cNvPr id="208" name="NUDO D">
          <a:extLst>
            <a:ext uri="{FF2B5EF4-FFF2-40B4-BE49-F238E27FC236}">
              <a16:creationId xmlns:a16="http://schemas.microsoft.com/office/drawing/2014/main" id="{94EEF7AE-E675-654B-7E18-68B598EC407D}"/>
            </a:ext>
          </a:extLst>
        </xdr:cNvPr>
        <xdr:cNvGrpSpPr/>
      </xdr:nvGrpSpPr>
      <xdr:grpSpPr>
        <a:xfrm>
          <a:off x="3310229" y="14228217"/>
          <a:ext cx="1851845" cy="735989"/>
          <a:chOff x="3676952" y="9248830"/>
          <a:chExt cx="1850213" cy="740972"/>
        </a:xfrm>
      </xdr:grpSpPr>
      <xdr:cxnSp macro="">
        <xdr:nvCxnSpPr>
          <xdr:cNvPr id="200" name="Barra AD">
            <a:extLst>
              <a:ext uri="{FF2B5EF4-FFF2-40B4-BE49-F238E27FC236}">
                <a16:creationId xmlns:a16="http://schemas.microsoft.com/office/drawing/2014/main" id="{99BB9DD3-B199-4A43-A51D-A7B358D96EFA}"/>
              </a:ext>
            </a:extLst>
          </xdr:cNvPr>
          <xdr:cNvCxnSpPr/>
        </xdr:nvCxnSpPr>
        <xdr:spPr>
          <a:xfrm flipV="1">
            <a:off x="4613343" y="9627809"/>
            <a:ext cx="241303" cy="266096"/>
          </a:xfrm>
          <a:prstGeom prst="line">
            <a:avLst/>
          </a:prstGeom>
          <a:ln w="3175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0" name="Barra BD">
            <a:extLst>
              <a:ext uri="{FF2B5EF4-FFF2-40B4-BE49-F238E27FC236}">
                <a16:creationId xmlns:a16="http://schemas.microsoft.com/office/drawing/2014/main" id="{F3DC71A2-3433-45F0-BADB-E0CB5F9A9273}"/>
              </a:ext>
            </a:extLst>
          </xdr:cNvPr>
          <xdr:cNvCxnSpPr/>
        </xdr:nvCxnSpPr>
        <xdr:spPr>
          <a:xfrm flipH="1" flipV="1">
            <a:off x="4845204" y="9627521"/>
            <a:ext cx="265162" cy="286542"/>
          </a:xfrm>
          <a:prstGeom prst="line">
            <a:avLst/>
          </a:prstGeom>
          <a:ln w="3175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191" name="Barra DE">
            <a:extLst>
              <a:ext uri="{FF2B5EF4-FFF2-40B4-BE49-F238E27FC236}">
                <a16:creationId xmlns:a16="http://schemas.microsoft.com/office/drawing/2014/main" id="{4653E985-E1C2-43CA-B57F-075C01019E84}"/>
              </a:ext>
            </a:extLst>
          </xdr:cNvPr>
          <xdr:cNvCxnSpPr/>
        </xdr:nvCxnSpPr>
        <xdr:spPr>
          <a:xfrm>
            <a:off x="4849601" y="9627046"/>
            <a:ext cx="460209" cy="0"/>
          </a:xfrm>
          <a:prstGeom prst="line">
            <a:avLst/>
          </a:prstGeom>
          <a:ln w="31750">
            <a:solidFill>
              <a:schemeClr val="tx1"/>
            </a:solidFill>
            <a:headEnd type="oval"/>
            <a:tailEnd type="triangle"/>
          </a:ln>
        </xdr:spPr>
        <xdr:style>
          <a:lnRef idx="1">
            <a:schemeClr val="accent1"/>
          </a:lnRef>
          <a:fillRef idx="0">
            <a:schemeClr val="accent1"/>
          </a:fillRef>
          <a:effectRef idx="0">
            <a:schemeClr val="accent1"/>
          </a:effectRef>
          <a:fontRef idx="minor">
            <a:schemeClr val="tx1"/>
          </a:fontRef>
        </xdr:style>
      </xdr:cxnSp>
      <xdr:sp macro="" textlink="Pv_D_Ver">
        <xdr:nvSpPr>
          <xdr:cNvPr id="192" name="P_v_D">
            <a:extLst>
              <a:ext uri="{FF2B5EF4-FFF2-40B4-BE49-F238E27FC236}">
                <a16:creationId xmlns:a16="http://schemas.microsoft.com/office/drawing/2014/main" id="{28E06833-6950-4A09-BB25-90F0EA32CF50}"/>
              </a:ext>
            </a:extLst>
          </xdr:cNvPr>
          <xdr:cNvSpPr txBox="1"/>
        </xdr:nvSpPr>
        <xdr:spPr>
          <a:xfrm>
            <a:off x="3830676" y="9390564"/>
            <a:ext cx="1068970" cy="1906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56875D57-607E-402E-98E4-6426FAB8DFBD}" type="TxLink">
              <a:rPr lang="en-US" sz="1200" b="1" i="0" u="none" strike="noStrike">
                <a:solidFill>
                  <a:srgbClr val="000000"/>
                </a:solidFill>
                <a:latin typeface="Calibri"/>
                <a:ea typeface="Calibri"/>
                <a:cs typeface="Calibri"/>
              </a:rPr>
              <a:pPr algn="r"/>
              <a:t>100 kN ↑</a:t>
            </a:fld>
            <a:endParaRPr lang="es-ES" sz="900" b="1">
              <a:solidFill>
                <a:schemeClr val="accent1">
                  <a:lumMod val="75000"/>
                </a:schemeClr>
              </a:solidFill>
            </a:endParaRPr>
          </a:p>
        </xdr:txBody>
      </xdr:sp>
      <xdr:sp macro="" textlink="Ph_D_Ver">
        <xdr:nvSpPr>
          <xdr:cNvPr id="193" name="P_h_D">
            <a:extLst>
              <a:ext uri="{FF2B5EF4-FFF2-40B4-BE49-F238E27FC236}">
                <a16:creationId xmlns:a16="http://schemas.microsoft.com/office/drawing/2014/main" id="{045D38CF-C40E-49EF-BCAB-EEEAC0CD2FF8}"/>
              </a:ext>
            </a:extLst>
          </xdr:cNvPr>
          <xdr:cNvSpPr txBox="1"/>
        </xdr:nvSpPr>
        <xdr:spPr>
          <a:xfrm>
            <a:off x="3676952" y="9525252"/>
            <a:ext cx="1097537" cy="168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38B07797-5D5B-4643-B814-76ADF309F99A}" type="TxLink">
              <a:rPr lang="en-US" sz="1200" b="1" i="0" u="none" strike="noStrike">
                <a:solidFill>
                  <a:srgbClr val="000000"/>
                </a:solidFill>
                <a:latin typeface="Calibri"/>
                <a:ea typeface="Calibri"/>
                <a:cs typeface="Calibri"/>
              </a:rPr>
              <a:pPr algn="r"/>
              <a:t>100 kN →</a:t>
            </a:fld>
            <a:endParaRPr lang="es-ES" sz="1050" b="1">
              <a:solidFill>
                <a:schemeClr val="accent1">
                  <a:lumMod val="75000"/>
                </a:schemeClr>
              </a:solidFill>
            </a:endParaRPr>
          </a:p>
        </xdr:txBody>
      </xdr:sp>
      <xdr:sp macro="" textlink="Apoyo_D_Fijo">
        <xdr:nvSpPr>
          <xdr:cNvPr id="194" name="Ap_D_Fijo">
            <a:extLst>
              <a:ext uri="{FF2B5EF4-FFF2-40B4-BE49-F238E27FC236}">
                <a16:creationId xmlns:a16="http://schemas.microsoft.com/office/drawing/2014/main" id="{7D82DFEB-2946-4C9A-8525-F19EB82489C6}"/>
              </a:ext>
            </a:extLst>
          </xdr:cNvPr>
          <xdr:cNvSpPr txBox="1"/>
        </xdr:nvSpPr>
        <xdr:spPr>
          <a:xfrm>
            <a:off x="3916147" y="9248830"/>
            <a:ext cx="979302" cy="3406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218A5E64-8BC2-420B-983F-F3B86168B506}"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D_Movil">
        <xdr:nvSpPr>
          <xdr:cNvPr id="195" name="Ap_D_Móvil">
            <a:extLst>
              <a:ext uri="{FF2B5EF4-FFF2-40B4-BE49-F238E27FC236}">
                <a16:creationId xmlns:a16="http://schemas.microsoft.com/office/drawing/2014/main" id="{BD679968-419E-4250-9D98-689D4861ABA8}"/>
              </a:ext>
            </a:extLst>
          </xdr:cNvPr>
          <xdr:cNvSpPr txBox="1"/>
        </xdr:nvSpPr>
        <xdr:spPr>
          <a:xfrm>
            <a:off x="3736105" y="9382652"/>
            <a:ext cx="1149831" cy="2013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989C7E5D-CC15-4C43-8DCD-8F61766A2DB3}"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
        <xdr:nvSpPr>
          <xdr:cNvPr id="196" name="Ap_D_Libre">
            <a:extLst>
              <a:ext uri="{FF2B5EF4-FFF2-40B4-BE49-F238E27FC236}">
                <a16:creationId xmlns:a16="http://schemas.microsoft.com/office/drawing/2014/main" id="{8A748E62-F5FE-4C41-B42E-DDF6C1241522}"/>
              </a:ext>
            </a:extLst>
          </xdr:cNvPr>
          <xdr:cNvSpPr txBox="1"/>
        </xdr:nvSpPr>
        <xdr:spPr>
          <a:xfrm>
            <a:off x="4897900" y="9598868"/>
            <a:ext cx="224889" cy="1998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900" b="1"/>
              <a:t>D</a:t>
            </a:r>
            <a:endParaRPr lang="en-US" b="1"/>
          </a:p>
        </xdr:txBody>
      </xdr:sp>
      <xdr:sp macro="" textlink="">
        <xdr:nvSpPr>
          <xdr:cNvPr id="204" name="T_BC">
            <a:extLst>
              <a:ext uri="{FF2B5EF4-FFF2-40B4-BE49-F238E27FC236}">
                <a16:creationId xmlns:a16="http://schemas.microsoft.com/office/drawing/2014/main" id="{8CF80734-D29B-4A5A-AF75-75D6618AF378}"/>
              </a:ext>
            </a:extLst>
          </xdr:cNvPr>
          <xdr:cNvSpPr txBox="1"/>
        </xdr:nvSpPr>
        <xdr:spPr>
          <a:xfrm>
            <a:off x="5271746" y="9529067"/>
            <a:ext cx="255419" cy="22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DE</a:t>
            </a:r>
          </a:p>
        </xdr:txBody>
      </xdr:sp>
      <xdr:sp macro="" textlink="">
        <xdr:nvSpPr>
          <xdr:cNvPr id="205" name="T_BC">
            <a:extLst>
              <a:ext uri="{FF2B5EF4-FFF2-40B4-BE49-F238E27FC236}">
                <a16:creationId xmlns:a16="http://schemas.microsoft.com/office/drawing/2014/main" id="{71C1F176-1854-458C-911F-2C17BB099DAE}"/>
              </a:ext>
            </a:extLst>
          </xdr:cNvPr>
          <xdr:cNvSpPr txBox="1"/>
        </xdr:nvSpPr>
        <xdr:spPr>
          <a:xfrm>
            <a:off x="5069352" y="9762102"/>
            <a:ext cx="255419" cy="22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DB</a:t>
            </a:r>
          </a:p>
        </xdr:txBody>
      </xdr:sp>
      <xdr:sp macro="" textlink="">
        <xdr:nvSpPr>
          <xdr:cNvPr id="206" name="T_BC">
            <a:extLst>
              <a:ext uri="{FF2B5EF4-FFF2-40B4-BE49-F238E27FC236}">
                <a16:creationId xmlns:a16="http://schemas.microsoft.com/office/drawing/2014/main" id="{5351EF8A-EB27-487D-8539-1F22673C35BC}"/>
              </a:ext>
            </a:extLst>
          </xdr:cNvPr>
          <xdr:cNvSpPr txBox="1"/>
        </xdr:nvSpPr>
        <xdr:spPr>
          <a:xfrm>
            <a:off x="4309936" y="9732635"/>
            <a:ext cx="255419" cy="2277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AD</a:t>
            </a:r>
          </a:p>
        </xdr:txBody>
      </xdr:sp>
    </xdr:grpSp>
    <xdr:clientData/>
  </xdr:twoCellAnchor>
  <xdr:twoCellAnchor>
    <xdr:from>
      <xdr:col>6</xdr:col>
      <xdr:colOff>326241</xdr:colOff>
      <xdr:row>53</xdr:row>
      <xdr:rowOff>271865</xdr:rowOff>
    </xdr:from>
    <xdr:to>
      <xdr:col>12</xdr:col>
      <xdr:colOff>158330</xdr:colOff>
      <xdr:row>55</xdr:row>
      <xdr:rowOff>328136</xdr:rowOff>
    </xdr:to>
    <xdr:grpSp>
      <xdr:nvGrpSpPr>
        <xdr:cNvPr id="128" name="NUDO E">
          <a:extLst>
            <a:ext uri="{FF2B5EF4-FFF2-40B4-BE49-F238E27FC236}">
              <a16:creationId xmlns:a16="http://schemas.microsoft.com/office/drawing/2014/main" id="{D7BD54E9-1AF4-11F1-AAEF-D4D9ECBB71DB}"/>
            </a:ext>
          </a:extLst>
        </xdr:cNvPr>
        <xdr:cNvGrpSpPr/>
      </xdr:nvGrpSpPr>
      <xdr:grpSpPr>
        <a:xfrm>
          <a:off x="2809162" y="15754449"/>
          <a:ext cx="2229393" cy="669153"/>
          <a:chOff x="3677952" y="9624043"/>
          <a:chExt cx="2208969" cy="704856"/>
        </a:xfrm>
      </xdr:grpSpPr>
      <xdr:cxnSp macro="">
        <xdr:nvCxnSpPr>
          <xdr:cNvPr id="16" name="Barra BE">
            <a:extLst>
              <a:ext uri="{FF2B5EF4-FFF2-40B4-BE49-F238E27FC236}">
                <a16:creationId xmlns:a16="http://schemas.microsoft.com/office/drawing/2014/main" id="{17004D52-E0B7-4CA9-BBC8-A548EEC9BE48}"/>
              </a:ext>
            </a:extLst>
          </xdr:cNvPr>
          <xdr:cNvCxnSpPr/>
        </xdr:nvCxnSpPr>
        <xdr:spPr>
          <a:xfrm flipV="1">
            <a:off x="4518648" y="10026157"/>
            <a:ext cx="215378" cy="242595"/>
          </a:xfrm>
          <a:prstGeom prst="line">
            <a:avLst/>
          </a:prstGeom>
          <a:ln w="3175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cxnSp macro="">
        <xdr:nvCxnSpPr>
          <xdr:cNvPr id="32" name="Barra DE">
            <a:extLst>
              <a:ext uri="{FF2B5EF4-FFF2-40B4-BE49-F238E27FC236}">
                <a16:creationId xmlns:a16="http://schemas.microsoft.com/office/drawing/2014/main" id="{4745D8DB-7144-43F4-A418-3565339F2EC5}"/>
              </a:ext>
            </a:extLst>
          </xdr:cNvPr>
          <xdr:cNvCxnSpPr/>
        </xdr:nvCxnSpPr>
        <xdr:spPr>
          <a:xfrm>
            <a:off x="4411988" y="10020190"/>
            <a:ext cx="324876" cy="0"/>
          </a:xfrm>
          <a:prstGeom prst="line">
            <a:avLst/>
          </a:prstGeom>
          <a:ln w="31750">
            <a:solidFill>
              <a:schemeClr val="tx1"/>
            </a:solidFill>
            <a:headEnd type="triangle"/>
            <a:tailEnd type="oval"/>
          </a:ln>
        </xdr:spPr>
        <xdr:style>
          <a:lnRef idx="1">
            <a:schemeClr val="accent1"/>
          </a:lnRef>
          <a:fillRef idx="0">
            <a:schemeClr val="accent1"/>
          </a:fillRef>
          <a:effectRef idx="0">
            <a:schemeClr val="accent1"/>
          </a:effectRef>
          <a:fontRef idx="minor">
            <a:schemeClr val="tx1"/>
          </a:fontRef>
        </xdr:style>
      </xdr:cxnSp>
      <xdr:cxnSp macro="">
        <xdr:nvCxnSpPr>
          <xdr:cNvPr id="5" name="Barra CE">
            <a:extLst>
              <a:ext uri="{FF2B5EF4-FFF2-40B4-BE49-F238E27FC236}">
                <a16:creationId xmlns:a16="http://schemas.microsoft.com/office/drawing/2014/main" id="{A9E5B603-6CD8-40AF-8C57-47E7FE209961}"/>
              </a:ext>
            </a:extLst>
          </xdr:cNvPr>
          <xdr:cNvCxnSpPr/>
        </xdr:nvCxnSpPr>
        <xdr:spPr>
          <a:xfrm flipH="1" flipV="1">
            <a:off x="4754307" y="10023658"/>
            <a:ext cx="206651" cy="233442"/>
          </a:xfrm>
          <a:prstGeom prst="line">
            <a:avLst/>
          </a:prstGeom>
          <a:ln w="31750">
            <a:solidFill>
              <a:schemeClr val="tx1"/>
            </a:solidFill>
            <a:headEnd type="triangle"/>
            <a:tailEnd type="none"/>
          </a:ln>
        </xdr:spPr>
        <xdr:style>
          <a:lnRef idx="1">
            <a:schemeClr val="accent1"/>
          </a:lnRef>
          <a:fillRef idx="0">
            <a:schemeClr val="accent1"/>
          </a:fillRef>
          <a:effectRef idx="0">
            <a:schemeClr val="accent1"/>
          </a:effectRef>
          <a:fontRef idx="minor">
            <a:schemeClr val="tx1"/>
          </a:fontRef>
        </xdr:style>
      </xdr:cxnSp>
      <xdr:sp macro="" textlink="Pv_E_Ver">
        <xdr:nvSpPr>
          <xdr:cNvPr id="6" name="P_v_E">
            <a:extLst>
              <a:ext uri="{FF2B5EF4-FFF2-40B4-BE49-F238E27FC236}">
                <a16:creationId xmlns:a16="http://schemas.microsoft.com/office/drawing/2014/main" id="{054F9F9B-F5B8-49DF-9CA1-7F633A101E79}"/>
              </a:ext>
            </a:extLst>
          </xdr:cNvPr>
          <xdr:cNvSpPr txBox="1"/>
        </xdr:nvSpPr>
        <xdr:spPr>
          <a:xfrm>
            <a:off x="3677952" y="9719458"/>
            <a:ext cx="1121377" cy="2245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827853A-1017-4F98-A2C9-CB9A44C1BB79}" type="TxLink">
              <a:rPr lang="en-US" sz="1200" b="1" i="0" u="none" strike="noStrike">
                <a:solidFill>
                  <a:srgbClr val="000000"/>
                </a:solidFill>
                <a:latin typeface="Calibri"/>
                <a:ea typeface="Calibri"/>
                <a:cs typeface="Calibri"/>
              </a:rPr>
              <a:pPr algn="r"/>
              <a:t>150 kN ↓</a:t>
            </a:fld>
            <a:endParaRPr lang="es-ES" sz="1200" b="1">
              <a:solidFill>
                <a:schemeClr val="accent1">
                  <a:lumMod val="75000"/>
                </a:schemeClr>
              </a:solidFill>
            </a:endParaRPr>
          </a:p>
        </xdr:txBody>
      </xdr:sp>
      <xdr:sp macro="" textlink="Ph_E_Ver">
        <xdr:nvSpPr>
          <xdr:cNvPr id="7" name="P_h_E">
            <a:extLst>
              <a:ext uri="{FF2B5EF4-FFF2-40B4-BE49-F238E27FC236}">
                <a16:creationId xmlns:a16="http://schemas.microsoft.com/office/drawing/2014/main" id="{9AB64FED-F991-460C-B9A3-D91432E83EF7}"/>
              </a:ext>
            </a:extLst>
          </xdr:cNvPr>
          <xdr:cNvSpPr txBox="1"/>
        </xdr:nvSpPr>
        <xdr:spPr>
          <a:xfrm>
            <a:off x="4819386" y="9909024"/>
            <a:ext cx="1067535" cy="1934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6AD347C8-904D-4540-A5FB-DC138BA6E6AD}" type="TxLink">
              <a:rPr lang="en-US" sz="1200" b="1" i="0" u="none" strike="noStrike">
                <a:solidFill>
                  <a:srgbClr val="000000"/>
                </a:solidFill>
                <a:latin typeface="Calibri"/>
                <a:ea typeface="Calibri"/>
                <a:cs typeface="Calibri"/>
              </a:rPr>
              <a:pPr algn="l"/>
              <a:t>← 150 kN</a:t>
            </a:fld>
            <a:endParaRPr lang="es-ES" sz="1100" b="1">
              <a:solidFill>
                <a:schemeClr val="accent1">
                  <a:lumMod val="75000"/>
                </a:schemeClr>
              </a:solidFill>
            </a:endParaRPr>
          </a:p>
        </xdr:txBody>
      </xdr:sp>
      <xdr:sp macro="" textlink="Apoyo_E_Fijo">
        <xdr:nvSpPr>
          <xdr:cNvPr id="8" name="Ap_E_Fijo">
            <a:extLst>
              <a:ext uri="{FF2B5EF4-FFF2-40B4-BE49-F238E27FC236}">
                <a16:creationId xmlns:a16="http://schemas.microsoft.com/office/drawing/2014/main" id="{78064C26-5ABA-4288-A02E-9EE9F0465978}"/>
              </a:ext>
            </a:extLst>
          </xdr:cNvPr>
          <xdr:cNvSpPr txBox="1"/>
        </xdr:nvSpPr>
        <xdr:spPr>
          <a:xfrm>
            <a:off x="3781554" y="9624043"/>
            <a:ext cx="1001688" cy="3312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F771758-CA34-4A38-BA44-D76CEA02E03C}"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E_Movil">
        <xdr:nvSpPr>
          <xdr:cNvPr id="13" name="Ap_E_Móvil">
            <a:extLst>
              <a:ext uri="{FF2B5EF4-FFF2-40B4-BE49-F238E27FC236}">
                <a16:creationId xmlns:a16="http://schemas.microsoft.com/office/drawing/2014/main" id="{749CAD19-2E6B-4ACE-8125-468DF34CC6F7}"/>
              </a:ext>
            </a:extLst>
          </xdr:cNvPr>
          <xdr:cNvSpPr txBox="1"/>
        </xdr:nvSpPr>
        <xdr:spPr>
          <a:xfrm>
            <a:off x="3846583" y="9765503"/>
            <a:ext cx="935736" cy="2009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09FE26D5-BE65-424C-9E34-02AB2F88D838}"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
        <xdr:nvSpPr>
          <xdr:cNvPr id="14" name="Ap_E_Libre">
            <a:extLst>
              <a:ext uri="{FF2B5EF4-FFF2-40B4-BE49-F238E27FC236}">
                <a16:creationId xmlns:a16="http://schemas.microsoft.com/office/drawing/2014/main" id="{F9768F66-CC4B-46B3-8057-9F507184C221}"/>
              </a:ext>
            </a:extLst>
          </xdr:cNvPr>
          <xdr:cNvSpPr txBox="1"/>
        </xdr:nvSpPr>
        <xdr:spPr>
          <a:xfrm>
            <a:off x="4632587" y="10044676"/>
            <a:ext cx="223615" cy="200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r>
              <a:rPr lang="en-US" sz="1000" b="1"/>
              <a:t>E</a:t>
            </a:r>
            <a:endParaRPr lang="en-US" b="1"/>
          </a:p>
        </xdr:txBody>
      </xdr:sp>
      <xdr:sp macro="" textlink="">
        <xdr:nvSpPr>
          <xdr:cNvPr id="119" name="T_ED">
            <a:extLst>
              <a:ext uri="{FF2B5EF4-FFF2-40B4-BE49-F238E27FC236}">
                <a16:creationId xmlns:a16="http://schemas.microsoft.com/office/drawing/2014/main" id="{742F1B36-6436-4A09-BAC6-AFFC6AA952E8}"/>
              </a:ext>
            </a:extLst>
          </xdr:cNvPr>
          <xdr:cNvSpPr txBox="1"/>
        </xdr:nvSpPr>
        <xdr:spPr>
          <a:xfrm>
            <a:off x="4116820" y="9915321"/>
            <a:ext cx="253765" cy="22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ED</a:t>
            </a:r>
          </a:p>
        </xdr:txBody>
      </xdr:sp>
      <xdr:sp macro="" textlink="">
        <xdr:nvSpPr>
          <xdr:cNvPr id="123" name="T_EB">
            <a:extLst>
              <a:ext uri="{FF2B5EF4-FFF2-40B4-BE49-F238E27FC236}">
                <a16:creationId xmlns:a16="http://schemas.microsoft.com/office/drawing/2014/main" id="{455F5B95-8F86-4862-829B-C8DB437C0AB0}"/>
              </a:ext>
            </a:extLst>
          </xdr:cNvPr>
          <xdr:cNvSpPr txBox="1"/>
        </xdr:nvSpPr>
        <xdr:spPr>
          <a:xfrm>
            <a:off x="4207079" y="10102676"/>
            <a:ext cx="253765" cy="22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EB</a:t>
            </a:r>
          </a:p>
        </xdr:txBody>
      </xdr:sp>
      <xdr:sp macro="" textlink="">
        <xdr:nvSpPr>
          <xdr:cNvPr id="126" name="T_EC">
            <a:extLst>
              <a:ext uri="{FF2B5EF4-FFF2-40B4-BE49-F238E27FC236}">
                <a16:creationId xmlns:a16="http://schemas.microsoft.com/office/drawing/2014/main" id="{2655BEB0-702C-4B85-8380-AD33AC4E5CFA}"/>
              </a:ext>
            </a:extLst>
          </xdr:cNvPr>
          <xdr:cNvSpPr txBox="1"/>
        </xdr:nvSpPr>
        <xdr:spPr>
          <a:xfrm>
            <a:off x="4918746" y="10099724"/>
            <a:ext cx="253765" cy="2262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r>
              <a:rPr lang="en-US" sz="1100" b="1" i="0" u="none" strike="noStrike">
                <a:solidFill>
                  <a:srgbClr val="000000"/>
                </a:solidFill>
                <a:latin typeface="Calibri"/>
                <a:ea typeface="Calibri"/>
                <a:cs typeface="Calibri"/>
              </a:rPr>
              <a:t>T</a:t>
            </a:r>
            <a:r>
              <a:rPr lang="en-US" sz="1100" b="1" i="0" u="none" strike="noStrike" baseline="-25000">
                <a:solidFill>
                  <a:srgbClr val="000000"/>
                </a:solidFill>
                <a:latin typeface="Calibri"/>
                <a:ea typeface="Calibri"/>
                <a:cs typeface="Calibri"/>
              </a:rPr>
              <a:t>EC</a:t>
            </a:r>
          </a:p>
        </xdr:txBody>
      </xdr:sp>
    </xdr:grpSp>
    <xdr:clientData/>
  </xdr:twoCellAnchor>
  <xdr:twoCellAnchor>
    <xdr:from>
      <xdr:col>1</xdr:col>
      <xdr:colOff>84668</xdr:colOff>
      <xdr:row>12</xdr:row>
      <xdr:rowOff>139887</xdr:rowOff>
    </xdr:from>
    <xdr:to>
      <xdr:col>12</xdr:col>
      <xdr:colOff>801463</xdr:colOff>
      <xdr:row>24</xdr:row>
      <xdr:rowOff>132020</xdr:rowOff>
    </xdr:to>
    <xdr:grpSp>
      <xdr:nvGrpSpPr>
        <xdr:cNvPr id="120" name="CERCHA">
          <a:extLst>
            <a:ext uri="{FF2B5EF4-FFF2-40B4-BE49-F238E27FC236}">
              <a16:creationId xmlns:a16="http://schemas.microsoft.com/office/drawing/2014/main" id="{3D4CEAE7-281B-4FD4-96D7-E7152618A7D0}"/>
            </a:ext>
          </a:extLst>
        </xdr:cNvPr>
        <xdr:cNvGrpSpPr/>
      </xdr:nvGrpSpPr>
      <xdr:grpSpPr>
        <a:xfrm>
          <a:off x="208339" y="3788165"/>
          <a:ext cx="5473349" cy="2170634"/>
          <a:chOff x="340722" y="2960852"/>
          <a:chExt cx="5420908" cy="2156408"/>
        </a:xfrm>
      </xdr:grpSpPr>
      <xdr:grpSp>
        <xdr:nvGrpSpPr>
          <xdr:cNvPr id="121" name="BARRAS">
            <a:extLst>
              <a:ext uri="{FF2B5EF4-FFF2-40B4-BE49-F238E27FC236}">
                <a16:creationId xmlns:a16="http://schemas.microsoft.com/office/drawing/2014/main" id="{96BD940E-E295-9487-B762-B939B7E8537F}"/>
              </a:ext>
            </a:extLst>
          </xdr:cNvPr>
          <xdr:cNvGrpSpPr/>
        </xdr:nvGrpSpPr>
        <xdr:grpSpPr>
          <a:xfrm>
            <a:off x="1495497" y="3574341"/>
            <a:ext cx="3142393" cy="935333"/>
            <a:chOff x="1705393" y="2227515"/>
            <a:chExt cx="3164041" cy="955527"/>
          </a:xfrm>
        </xdr:grpSpPr>
        <xdr:cxnSp macro="">
          <xdr:nvCxnSpPr>
            <xdr:cNvPr id="242" name="Barra AB">
              <a:extLst>
                <a:ext uri="{FF2B5EF4-FFF2-40B4-BE49-F238E27FC236}">
                  <a16:creationId xmlns:a16="http://schemas.microsoft.com/office/drawing/2014/main" id="{39AA6269-FD46-4438-CFEA-7C4E440F1535}"/>
                </a:ext>
              </a:extLst>
            </xdr:cNvPr>
            <xdr:cNvCxnSpPr/>
          </xdr:nvCxnSpPr>
          <xdr:spPr>
            <a:xfrm>
              <a:off x="1707502" y="3137317"/>
              <a:ext cx="1569313" cy="0"/>
            </a:xfrm>
            <a:prstGeom prst="line">
              <a:avLst/>
            </a:prstGeom>
            <a:ln w="31750">
              <a:solidFill>
                <a:schemeClr val="tx1"/>
              </a:solidFill>
              <a:headEnd type="oval"/>
              <a:tailEnd type="oval"/>
            </a:ln>
          </xdr:spPr>
          <xdr:style>
            <a:lnRef idx="1">
              <a:schemeClr val="accent1"/>
            </a:lnRef>
            <a:fillRef idx="0">
              <a:schemeClr val="accent1"/>
            </a:fillRef>
            <a:effectRef idx="0">
              <a:schemeClr val="accent1"/>
            </a:effectRef>
            <a:fontRef idx="minor">
              <a:schemeClr val="tx1"/>
            </a:fontRef>
          </xdr:style>
        </xdr:cxnSp>
        <xdr:cxnSp macro="">
          <xdr:nvCxnSpPr>
            <xdr:cNvPr id="243" name="Barra BC">
              <a:extLst>
                <a:ext uri="{FF2B5EF4-FFF2-40B4-BE49-F238E27FC236}">
                  <a16:creationId xmlns:a16="http://schemas.microsoft.com/office/drawing/2014/main" id="{7E807DB8-9F5D-30D7-4A1C-53080FC7AF2C}"/>
                </a:ext>
              </a:extLst>
            </xdr:cNvPr>
            <xdr:cNvCxnSpPr/>
          </xdr:nvCxnSpPr>
          <xdr:spPr>
            <a:xfrm>
              <a:off x="3288475" y="3149080"/>
              <a:ext cx="1552477" cy="0"/>
            </a:xfrm>
            <a:prstGeom prst="line">
              <a:avLst/>
            </a:prstGeom>
            <a:ln w="31750">
              <a:solidFill>
                <a:schemeClr val="tx1"/>
              </a:solidFill>
              <a:headEnd type="none"/>
              <a:tailEnd type="oval"/>
            </a:ln>
          </xdr:spPr>
          <xdr:style>
            <a:lnRef idx="1">
              <a:schemeClr val="accent1"/>
            </a:lnRef>
            <a:fillRef idx="0">
              <a:schemeClr val="accent1"/>
            </a:fillRef>
            <a:effectRef idx="0">
              <a:schemeClr val="accent1"/>
            </a:effectRef>
            <a:fontRef idx="minor">
              <a:schemeClr val="tx1"/>
            </a:fontRef>
          </xdr:style>
        </xdr:cxnSp>
        <xdr:cxnSp macro="">
          <xdr:nvCxnSpPr>
            <xdr:cNvPr id="244" name="Barra AD">
              <a:extLst>
                <a:ext uri="{FF2B5EF4-FFF2-40B4-BE49-F238E27FC236}">
                  <a16:creationId xmlns:a16="http://schemas.microsoft.com/office/drawing/2014/main" id="{4796E1BA-92EB-A55F-96E4-6A6C47468FB0}"/>
                </a:ext>
              </a:extLst>
            </xdr:cNvPr>
            <xdr:cNvCxnSpPr/>
          </xdr:nvCxnSpPr>
          <xdr:spPr>
            <a:xfrm flipV="1">
              <a:off x="1705393" y="2228576"/>
              <a:ext cx="782693" cy="911204"/>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45" name="Barra BD">
              <a:extLst>
                <a:ext uri="{FF2B5EF4-FFF2-40B4-BE49-F238E27FC236}">
                  <a16:creationId xmlns:a16="http://schemas.microsoft.com/office/drawing/2014/main" id="{721455CA-B842-4F7B-9C1D-9A54CCB85368}"/>
                </a:ext>
              </a:extLst>
            </xdr:cNvPr>
            <xdr:cNvCxnSpPr/>
          </xdr:nvCxnSpPr>
          <xdr:spPr>
            <a:xfrm flipH="1" flipV="1">
              <a:off x="2486200" y="2228019"/>
              <a:ext cx="797237" cy="909522"/>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46" name="Barra BE">
              <a:extLst>
                <a:ext uri="{FF2B5EF4-FFF2-40B4-BE49-F238E27FC236}">
                  <a16:creationId xmlns:a16="http://schemas.microsoft.com/office/drawing/2014/main" id="{C3E11E48-6464-60C5-7A46-09094365E77B}"/>
                </a:ext>
              </a:extLst>
            </xdr:cNvPr>
            <xdr:cNvCxnSpPr/>
          </xdr:nvCxnSpPr>
          <xdr:spPr>
            <a:xfrm flipV="1">
              <a:off x="3282103" y="2233814"/>
              <a:ext cx="774945" cy="911344"/>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47" name="Barra CE">
              <a:extLst>
                <a:ext uri="{FF2B5EF4-FFF2-40B4-BE49-F238E27FC236}">
                  <a16:creationId xmlns:a16="http://schemas.microsoft.com/office/drawing/2014/main" id="{C6FB0252-F9A9-BDE6-8C2F-2512A3FFB19A}"/>
                </a:ext>
              </a:extLst>
            </xdr:cNvPr>
            <xdr:cNvCxnSpPr/>
          </xdr:nvCxnSpPr>
          <xdr:spPr>
            <a:xfrm flipH="1" flipV="1">
              <a:off x="4085148" y="2258026"/>
              <a:ext cx="784286" cy="925016"/>
            </a:xfrm>
            <a:prstGeom prst="line">
              <a:avLst/>
            </a:prstGeom>
            <a:ln w="31750">
              <a:solidFill>
                <a:schemeClr val="tx1"/>
              </a:solidFill>
              <a:headEnd type="none"/>
              <a:tailEnd type="none"/>
            </a:ln>
          </xdr:spPr>
          <xdr:style>
            <a:lnRef idx="1">
              <a:schemeClr val="accent1"/>
            </a:lnRef>
            <a:fillRef idx="0">
              <a:schemeClr val="accent1"/>
            </a:fillRef>
            <a:effectRef idx="0">
              <a:schemeClr val="accent1"/>
            </a:effectRef>
            <a:fontRef idx="minor">
              <a:schemeClr val="tx1"/>
            </a:fontRef>
          </xdr:style>
        </xdr:cxnSp>
        <xdr:cxnSp macro="">
          <xdr:nvCxnSpPr>
            <xdr:cNvPr id="248" name="Barra DE">
              <a:extLst>
                <a:ext uri="{FF2B5EF4-FFF2-40B4-BE49-F238E27FC236}">
                  <a16:creationId xmlns:a16="http://schemas.microsoft.com/office/drawing/2014/main" id="{52C8CD39-1B01-FC3F-0B72-5A90EC5DC6DD}"/>
                </a:ext>
              </a:extLst>
            </xdr:cNvPr>
            <xdr:cNvCxnSpPr/>
          </xdr:nvCxnSpPr>
          <xdr:spPr>
            <a:xfrm>
              <a:off x="2490621" y="2227515"/>
              <a:ext cx="1569298" cy="0"/>
            </a:xfrm>
            <a:prstGeom prst="line">
              <a:avLst/>
            </a:prstGeom>
            <a:ln w="31750">
              <a:solidFill>
                <a:schemeClr val="tx1"/>
              </a:solidFill>
              <a:headEnd type="oval"/>
              <a:tailEnd type="oval"/>
            </a:ln>
          </xdr:spPr>
          <xdr:style>
            <a:lnRef idx="1">
              <a:schemeClr val="accent1"/>
            </a:lnRef>
            <a:fillRef idx="0">
              <a:schemeClr val="accent1"/>
            </a:fillRef>
            <a:effectRef idx="0">
              <a:schemeClr val="accent1"/>
            </a:effectRef>
            <a:fontRef idx="minor">
              <a:schemeClr val="tx1"/>
            </a:fontRef>
          </xdr:style>
        </xdr:cxnSp>
      </xdr:grpSp>
      <xdr:grpSp>
        <xdr:nvGrpSpPr>
          <xdr:cNvPr id="122" name="TENSIONES">
            <a:extLst>
              <a:ext uri="{FF2B5EF4-FFF2-40B4-BE49-F238E27FC236}">
                <a16:creationId xmlns:a16="http://schemas.microsoft.com/office/drawing/2014/main" id="{D6C74915-C24C-1F1D-C19B-01E2459A4610}"/>
              </a:ext>
            </a:extLst>
          </xdr:cNvPr>
          <xdr:cNvGrpSpPr/>
        </xdr:nvGrpSpPr>
        <xdr:grpSpPr>
          <a:xfrm>
            <a:off x="1498137" y="3360156"/>
            <a:ext cx="3106360" cy="1222123"/>
            <a:chOff x="1696716" y="2002017"/>
            <a:chExt cx="3089475" cy="1247919"/>
          </a:xfrm>
        </xdr:grpSpPr>
        <xdr:sp macro="" textlink="T_AB_T">
          <xdr:nvSpPr>
            <xdr:cNvPr id="228" name="T_AB_T">
              <a:extLst>
                <a:ext uri="{FF2B5EF4-FFF2-40B4-BE49-F238E27FC236}">
                  <a16:creationId xmlns:a16="http://schemas.microsoft.com/office/drawing/2014/main" id="{504E4FC4-774D-1479-33BC-B44B0C69D716}"/>
                </a:ext>
              </a:extLst>
            </xdr:cNvPr>
            <xdr:cNvSpPr txBox="1"/>
          </xdr:nvSpPr>
          <xdr:spPr>
            <a:xfrm>
              <a:off x="1711502" y="2967599"/>
              <a:ext cx="1525460" cy="17903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oAutofit/>
            </a:bodyPr>
            <a:lstStyle/>
            <a:p>
              <a:pPr algn="ctr"/>
              <a:fld id="{1523E36F-3ECC-414C-B301-FF5A7F94E8BB}" type="TxLink">
                <a:rPr lang="en-US" sz="800" b="1" i="0" u="none" strike="noStrike">
                  <a:solidFill>
                    <a:srgbClr val="000000"/>
                  </a:solidFill>
                  <a:latin typeface="Calibri"/>
                  <a:ea typeface="Calibri"/>
                  <a:cs typeface="Calibri"/>
                </a:rPr>
                <a:pPr algn="ctr"/>
                <a:t>223,21 kN</a:t>
              </a:fld>
              <a:endParaRPr lang="es-ES" sz="800">
                <a:solidFill>
                  <a:srgbClr val="FF0000"/>
                </a:solidFill>
              </a:endParaRPr>
            </a:p>
          </xdr:txBody>
        </xdr:sp>
        <xdr:sp macro="" textlink="T_AB_C">
          <xdr:nvSpPr>
            <xdr:cNvPr id="229" name="T_AB_C">
              <a:extLst>
                <a:ext uri="{FF2B5EF4-FFF2-40B4-BE49-F238E27FC236}">
                  <a16:creationId xmlns:a16="http://schemas.microsoft.com/office/drawing/2014/main" id="{62D2BA33-716E-FBE6-9700-8EF57EE1EDF6}"/>
                </a:ext>
              </a:extLst>
            </xdr:cNvPr>
            <xdr:cNvSpPr txBox="1"/>
          </xdr:nvSpPr>
          <xdr:spPr>
            <a:xfrm>
              <a:off x="1696716" y="2998201"/>
              <a:ext cx="1547357" cy="164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oAutofit/>
            </a:bodyPr>
            <a:lstStyle/>
            <a:p>
              <a:pPr algn="ctr"/>
              <a:fld id="{D0EA66EA-D916-415F-9FC2-2C0B14D5444F}" type="TxLink">
                <a:rPr lang="en-US" sz="800" b="1" i="0" u="none" strike="noStrike">
                  <a:solidFill>
                    <a:srgbClr val="FF0000"/>
                  </a:solidFill>
                  <a:latin typeface="Calibri"/>
                  <a:ea typeface="Calibri"/>
                  <a:cs typeface="Calibri"/>
                </a:rPr>
                <a:pPr algn="ctr"/>
                <a:t> </a:t>
              </a:fld>
              <a:endParaRPr lang="es-ES" sz="800">
                <a:solidFill>
                  <a:srgbClr val="FF0000"/>
                </a:solidFill>
              </a:endParaRPr>
            </a:p>
          </xdr:txBody>
        </xdr:sp>
        <xdr:sp macro="" textlink="T_CB_T">
          <xdr:nvSpPr>
            <xdr:cNvPr id="230" name="T_CB_T">
              <a:extLst>
                <a:ext uri="{FF2B5EF4-FFF2-40B4-BE49-F238E27FC236}">
                  <a16:creationId xmlns:a16="http://schemas.microsoft.com/office/drawing/2014/main" id="{4D142E5A-B256-6402-D542-23A414AB931D}"/>
                </a:ext>
              </a:extLst>
            </xdr:cNvPr>
            <xdr:cNvSpPr txBox="1"/>
          </xdr:nvSpPr>
          <xdr:spPr>
            <a:xfrm>
              <a:off x="3260731" y="2954041"/>
              <a:ext cx="1525460" cy="1915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D68E4948-D279-4737-BA53-627807D997C7}" type="TxLink">
                <a:rPr lang="en-US" sz="800" b="1" i="0" u="none" strike="noStrike">
                  <a:solidFill>
                    <a:srgbClr val="000000"/>
                  </a:solidFill>
                  <a:latin typeface="Calibri"/>
                  <a:ea typeface="Calibri"/>
                  <a:cs typeface="Calibri"/>
                </a:rPr>
                <a:pPr algn="ctr"/>
                <a:t>464,72 kN</a:t>
              </a:fld>
              <a:endParaRPr lang="es-ES" sz="800">
                <a:solidFill>
                  <a:srgbClr val="FF0000"/>
                </a:solidFill>
              </a:endParaRPr>
            </a:p>
          </xdr:txBody>
        </xdr:sp>
        <xdr:sp macro="" textlink="T_CB_C">
          <xdr:nvSpPr>
            <xdr:cNvPr id="231" name="T_CB_C">
              <a:extLst>
                <a:ext uri="{FF2B5EF4-FFF2-40B4-BE49-F238E27FC236}">
                  <a16:creationId xmlns:a16="http://schemas.microsoft.com/office/drawing/2014/main" id="{66B1C91A-BFA5-16EE-69ED-8DDF435A6391}"/>
                </a:ext>
              </a:extLst>
            </xdr:cNvPr>
            <xdr:cNvSpPr txBox="1"/>
          </xdr:nvSpPr>
          <xdr:spPr>
            <a:xfrm>
              <a:off x="3257522" y="3008274"/>
              <a:ext cx="1525460" cy="1506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b">
              <a:noAutofit/>
            </a:bodyPr>
            <a:lstStyle/>
            <a:p>
              <a:pPr algn="ctr"/>
              <a:fld id="{9E4F8900-8E45-4B0C-9EA7-AD6B759F1477}" type="TxLink">
                <a:rPr lang="en-US" sz="800" b="1" i="0" u="none" strike="noStrike">
                  <a:solidFill>
                    <a:srgbClr val="FF0000"/>
                  </a:solidFill>
                  <a:latin typeface="Calibri"/>
                  <a:ea typeface="Calibri"/>
                  <a:cs typeface="Calibri"/>
                </a:rPr>
                <a:pPr algn="ctr"/>
                <a:t> </a:t>
              </a:fld>
              <a:endParaRPr lang="es-ES" sz="800">
                <a:solidFill>
                  <a:srgbClr val="FF0000"/>
                </a:solidFill>
              </a:endParaRPr>
            </a:p>
          </xdr:txBody>
        </xdr:sp>
        <xdr:sp macro="" textlink="T_DE_T">
          <xdr:nvSpPr>
            <xdr:cNvPr id="232" name="T_DE_T">
              <a:extLst>
                <a:ext uri="{FF2B5EF4-FFF2-40B4-BE49-F238E27FC236}">
                  <a16:creationId xmlns:a16="http://schemas.microsoft.com/office/drawing/2014/main" id="{B8A9A21F-52B0-11BB-4A91-2781D0DD59FC}"/>
                </a:ext>
              </a:extLst>
            </xdr:cNvPr>
            <xdr:cNvSpPr txBox="1"/>
          </xdr:nvSpPr>
          <xdr:spPr>
            <a:xfrm>
              <a:off x="2484506" y="2199358"/>
              <a:ext cx="1525460" cy="180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23E43FCC-8A11-47C7-9B1B-CF693E1DDA3C}" type="TxLink">
                <a:rPr lang="en-US" sz="800" b="1" i="0" u="none" strike="noStrike">
                  <a:solidFill>
                    <a:srgbClr val="000000"/>
                  </a:solidFill>
                  <a:latin typeface="Calibri"/>
                  <a:ea typeface="Calibri"/>
                  <a:cs typeface="Calibri"/>
                </a:rPr>
                <a:pPr algn="ctr"/>
                <a:t> </a:t>
              </a:fld>
              <a:endParaRPr lang="es-ES" sz="800">
                <a:solidFill>
                  <a:srgbClr val="FF0000"/>
                </a:solidFill>
              </a:endParaRPr>
            </a:p>
          </xdr:txBody>
        </xdr:sp>
        <xdr:sp macro="" textlink="T_DE_C">
          <xdr:nvSpPr>
            <xdr:cNvPr id="233" name="T_DE_C">
              <a:extLst>
                <a:ext uri="{FF2B5EF4-FFF2-40B4-BE49-F238E27FC236}">
                  <a16:creationId xmlns:a16="http://schemas.microsoft.com/office/drawing/2014/main" id="{0656A365-6A4B-2489-F9C2-E10FD32BBAA9}"/>
                </a:ext>
              </a:extLst>
            </xdr:cNvPr>
            <xdr:cNvSpPr txBox="1"/>
          </xdr:nvSpPr>
          <xdr:spPr>
            <a:xfrm>
              <a:off x="2480824" y="2209549"/>
              <a:ext cx="1525460" cy="2000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ADA02722-74C2-41F0-87B2-1128CE2ACE39}" type="TxLink">
                <a:rPr lang="en-US" sz="800" b="1" i="0" u="none" strike="noStrike">
                  <a:solidFill>
                    <a:srgbClr val="FF0000"/>
                  </a:solidFill>
                  <a:latin typeface="Calibri"/>
                  <a:ea typeface="Calibri"/>
                  <a:cs typeface="Calibri"/>
                </a:rPr>
                <a:pPr algn="ctr"/>
                <a:t>-619,62 kN</a:t>
              </a:fld>
              <a:endParaRPr lang="es-ES" sz="800">
                <a:solidFill>
                  <a:srgbClr val="FF0000"/>
                </a:solidFill>
              </a:endParaRPr>
            </a:p>
          </xdr:txBody>
        </xdr:sp>
        <xdr:sp macro="" textlink="T_AD_T">
          <xdr:nvSpPr>
            <xdr:cNvPr id="234" name="T_AD_T">
              <a:extLst>
                <a:ext uri="{FF2B5EF4-FFF2-40B4-BE49-F238E27FC236}">
                  <a16:creationId xmlns:a16="http://schemas.microsoft.com/office/drawing/2014/main" id="{A62CB91E-52AF-064A-6E81-8D4A79E61F33}"/>
                </a:ext>
              </a:extLst>
            </xdr:cNvPr>
            <xdr:cNvSpPr txBox="1"/>
          </xdr:nvSpPr>
          <xdr:spPr>
            <a:xfrm rot="18709802">
              <a:off x="1400912" y="2566369"/>
              <a:ext cx="1242735"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56C39219-AB98-499F-88B9-3BB0F954F26F}" type="TxLink">
                <a:rPr lang="en-US" sz="800" b="1" i="0" u="none" strike="noStrike">
                  <a:solidFill>
                    <a:srgbClr val="000000"/>
                  </a:solidFill>
                  <a:latin typeface="Calibri"/>
                  <a:ea typeface="Calibri"/>
                  <a:cs typeface="Calibri"/>
                </a:rPr>
                <a:pPr algn="ctr"/>
                <a:t> </a:t>
              </a:fld>
              <a:endParaRPr lang="es-ES" sz="800"/>
            </a:p>
          </xdr:txBody>
        </xdr:sp>
        <xdr:sp macro="" textlink="T_AD_C">
          <xdr:nvSpPr>
            <xdr:cNvPr id="235" name="T_AD_C">
              <a:extLst>
                <a:ext uri="{FF2B5EF4-FFF2-40B4-BE49-F238E27FC236}">
                  <a16:creationId xmlns:a16="http://schemas.microsoft.com/office/drawing/2014/main" id="{EB86A07B-8BDA-925B-85D4-E6080A6A3E9E}"/>
                </a:ext>
              </a:extLst>
            </xdr:cNvPr>
            <xdr:cNvSpPr txBox="1"/>
          </xdr:nvSpPr>
          <xdr:spPr>
            <a:xfrm rot="18662482" flipH="1">
              <a:off x="1426114" y="2560752"/>
              <a:ext cx="1216236" cy="1270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9788F9EC-2204-4961-A3E8-74D5AD4026C4}" type="TxLink">
                <a:rPr lang="en-US" sz="800" b="1" i="0" u="none" strike="noStrike">
                  <a:solidFill>
                    <a:srgbClr val="FF0000"/>
                  </a:solidFill>
                  <a:latin typeface="Calibri"/>
                  <a:ea typeface="Calibri"/>
                  <a:cs typeface="Calibri"/>
                </a:rPr>
                <a:pPr algn="ctr"/>
                <a:t>-200,00 kN</a:t>
              </a:fld>
              <a:endParaRPr lang="es-ES" sz="800">
                <a:solidFill>
                  <a:srgbClr val="FF0000"/>
                </a:solidFill>
              </a:endParaRPr>
            </a:p>
          </xdr:txBody>
        </xdr:sp>
        <xdr:sp macro="" textlink="T_DB_T">
          <xdr:nvSpPr>
            <xdr:cNvPr id="236" name="T_DB_T">
              <a:extLst>
                <a:ext uri="{FF2B5EF4-FFF2-40B4-BE49-F238E27FC236}">
                  <a16:creationId xmlns:a16="http://schemas.microsoft.com/office/drawing/2014/main" id="{ADF8E4A6-868C-1D9D-B825-71A917667973}"/>
                </a:ext>
              </a:extLst>
            </xdr:cNvPr>
            <xdr:cNvSpPr txBox="1"/>
          </xdr:nvSpPr>
          <xdr:spPr>
            <a:xfrm rot="2899736" flipH="1">
              <a:off x="2294441" y="2554785"/>
              <a:ext cx="1229936"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6D6AC5B3-10B7-4A83-8467-B0B78CECAA73}" type="TxLink">
                <a:rPr lang="en-US" sz="800" b="1" i="0" u="none" strike="noStrike">
                  <a:solidFill>
                    <a:srgbClr val="000000"/>
                  </a:solidFill>
                  <a:latin typeface="Calibri"/>
                  <a:ea typeface="Calibri"/>
                  <a:cs typeface="Calibri"/>
                </a:rPr>
                <a:pPr algn="ctr"/>
                <a:t>400,00 kN</a:t>
              </a:fld>
              <a:endParaRPr lang="es-ES" sz="800">
                <a:solidFill>
                  <a:srgbClr val="FF0000"/>
                </a:solidFill>
              </a:endParaRPr>
            </a:p>
          </xdr:txBody>
        </xdr:sp>
        <xdr:sp macro="" textlink="T_DB_C">
          <xdr:nvSpPr>
            <xdr:cNvPr id="237" name="T_DB_C">
              <a:extLst>
                <a:ext uri="{FF2B5EF4-FFF2-40B4-BE49-F238E27FC236}">
                  <a16:creationId xmlns:a16="http://schemas.microsoft.com/office/drawing/2014/main" id="{AB6A5EF2-D241-A736-5D8B-AE8D9BCE1BAF}"/>
                </a:ext>
              </a:extLst>
            </xdr:cNvPr>
            <xdr:cNvSpPr txBox="1"/>
          </xdr:nvSpPr>
          <xdr:spPr>
            <a:xfrm rot="2878349">
              <a:off x="2296898" y="2568103"/>
              <a:ext cx="1225206"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51C6B748-8928-4FE9-8239-0F743A2131F0}" type="TxLink">
                <a:rPr lang="en-US" sz="800" b="1" i="0" u="none" strike="noStrike">
                  <a:solidFill>
                    <a:srgbClr val="FF0000"/>
                  </a:solidFill>
                  <a:latin typeface="Calibri"/>
                  <a:ea typeface="Calibri"/>
                  <a:cs typeface="Calibri"/>
                </a:rPr>
                <a:pPr algn="ctr"/>
                <a:t> </a:t>
              </a:fld>
              <a:endParaRPr lang="es-ES" sz="800">
                <a:solidFill>
                  <a:srgbClr val="FF0000"/>
                </a:solidFill>
              </a:endParaRPr>
            </a:p>
          </xdr:txBody>
        </xdr:sp>
        <xdr:sp macro="" textlink="T_BE_T">
          <xdr:nvSpPr>
            <xdr:cNvPr id="238" name="T_BE_T">
              <a:extLst>
                <a:ext uri="{FF2B5EF4-FFF2-40B4-BE49-F238E27FC236}">
                  <a16:creationId xmlns:a16="http://schemas.microsoft.com/office/drawing/2014/main" id="{E8D91262-2066-5DCE-7880-B4BDA6D87320}"/>
                </a:ext>
              </a:extLst>
            </xdr:cNvPr>
            <xdr:cNvSpPr txBox="1"/>
          </xdr:nvSpPr>
          <xdr:spPr>
            <a:xfrm rot="18656164">
              <a:off x="2978180" y="2576599"/>
              <a:ext cx="1179830" cy="1252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6A39EEFE-809C-4590-8578-9B3C00DF0435}" type="TxLink">
                <a:rPr lang="en-US" sz="800" b="1" i="0" u="none" strike="noStrike">
                  <a:solidFill>
                    <a:srgbClr val="000000"/>
                  </a:solidFill>
                  <a:latin typeface="Calibri"/>
                  <a:ea typeface="Calibri"/>
                  <a:cs typeface="Calibri"/>
                </a:rPr>
                <a:pPr algn="ctr"/>
                <a:t>121,14 kN</a:t>
              </a:fld>
              <a:endParaRPr lang="es-ES" sz="800"/>
            </a:p>
          </xdr:txBody>
        </xdr:sp>
        <xdr:sp macro="" textlink="T_BE_C">
          <xdr:nvSpPr>
            <xdr:cNvPr id="239" name="T_BE_C">
              <a:extLst>
                <a:ext uri="{FF2B5EF4-FFF2-40B4-BE49-F238E27FC236}">
                  <a16:creationId xmlns:a16="http://schemas.microsoft.com/office/drawing/2014/main" id="{612C1A08-4520-D937-EE35-F2FEE5C4C074}"/>
                </a:ext>
              </a:extLst>
            </xdr:cNvPr>
            <xdr:cNvSpPr txBox="1"/>
          </xdr:nvSpPr>
          <xdr:spPr>
            <a:xfrm rot="18647562">
              <a:off x="2970184" y="2558134"/>
              <a:ext cx="1212738"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D00CD651-566C-4DF9-8097-9B388E253AB0}" type="TxLink">
                <a:rPr lang="en-US" sz="800" b="1" i="0" u="none" strike="noStrike">
                  <a:solidFill>
                    <a:srgbClr val="FF0000"/>
                  </a:solidFill>
                  <a:latin typeface="Calibri"/>
                  <a:ea typeface="Calibri"/>
                  <a:cs typeface="Calibri"/>
                </a:rPr>
                <a:pPr algn="ctr"/>
                <a:t> </a:t>
              </a:fld>
              <a:endParaRPr lang="es-ES" sz="800">
                <a:solidFill>
                  <a:srgbClr val="FF0000"/>
                </a:solidFill>
              </a:endParaRPr>
            </a:p>
          </xdr:txBody>
        </xdr:sp>
        <xdr:sp macro="" textlink="T_CE_T">
          <xdr:nvSpPr>
            <xdr:cNvPr id="240" name="T_CE_T">
              <a:extLst>
                <a:ext uri="{FF2B5EF4-FFF2-40B4-BE49-F238E27FC236}">
                  <a16:creationId xmlns:a16="http://schemas.microsoft.com/office/drawing/2014/main" id="{6EE6C5FF-61BD-7BE3-ED1E-C63618E67B7A}"/>
                </a:ext>
              </a:extLst>
            </xdr:cNvPr>
            <xdr:cNvSpPr txBox="1"/>
          </xdr:nvSpPr>
          <xdr:spPr>
            <a:xfrm rot="2930310" flipH="1">
              <a:off x="3857478" y="2561155"/>
              <a:ext cx="1209751"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CE7B6678-906F-4539-AF8C-37F0E295169D}" type="TxLink">
                <a:rPr lang="en-US" sz="800" b="1" i="0" u="none" strike="noStrike">
                  <a:solidFill>
                    <a:srgbClr val="000000"/>
                  </a:solidFill>
                  <a:latin typeface="Calibri"/>
                  <a:ea typeface="Calibri"/>
                  <a:cs typeface="Calibri"/>
                </a:rPr>
                <a:pPr algn="ctr"/>
                <a:t> </a:t>
              </a:fld>
              <a:endParaRPr lang="es-ES" sz="800">
                <a:solidFill>
                  <a:srgbClr val="FF0000"/>
                </a:solidFill>
              </a:endParaRPr>
            </a:p>
          </xdr:txBody>
        </xdr:sp>
        <xdr:sp macro="" textlink="T_CE_C">
          <xdr:nvSpPr>
            <xdr:cNvPr id="241" name="T_CE_C">
              <a:extLst>
                <a:ext uri="{FF2B5EF4-FFF2-40B4-BE49-F238E27FC236}">
                  <a16:creationId xmlns:a16="http://schemas.microsoft.com/office/drawing/2014/main" id="{34941106-7D7E-F526-789F-2C590749FB4B}"/>
                </a:ext>
              </a:extLst>
            </xdr:cNvPr>
            <xdr:cNvSpPr txBox="1"/>
          </xdr:nvSpPr>
          <xdr:spPr>
            <a:xfrm rot="2951654" flipH="1">
              <a:off x="3853735" y="2565901"/>
              <a:ext cx="1217253" cy="124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spAutoFit/>
            </a:bodyPr>
            <a:lstStyle/>
            <a:p>
              <a:pPr algn="ctr"/>
              <a:fld id="{66F03ED7-93C5-4412-96E4-5F4E5F622C35}" type="TxLink">
                <a:rPr lang="en-US" sz="800" b="1" i="0" u="none" strike="noStrike">
                  <a:solidFill>
                    <a:srgbClr val="FF0000"/>
                  </a:solidFill>
                  <a:latin typeface="Calibri"/>
                  <a:ea typeface="Calibri"/>
                  <a:cs typeface="Calibri"/>
                </a:rPr>
                <a:pPr algn="ctr"/>
                <a:t>-421,14 kN</a:t>
              </a:fld>
              <a:endParaRPr lang="es-ES" sz="800">
                <a:solidFill>
                  <a:srgbClr val="FF0000"/>
                </a:solidFill>
              </a:endParaRPr>
            </a:p>
          </xdr:txBody>
        </xdr:sp>
      </xdr:grpSp>
      <xdr:grpSp>
        <xdr:nvGrpSpPr>
          <xdr:cNvPr id="127" name="Cargas">
            <a:extLst>
              <a:ext uri="{FF2B5EF4-FFF2-40B4-BE49-F238E27FC236}">
                <a16:creationId xmlns:a16="http://schemas.microsoft.com/office/drawing/2014/main" id="{6477A7F7-86F3-E1EC-8D17-25CD0A09BB9D}"/>
              </a:ext>
            </a:extLst>
          </xdr:cNvPr>
          <xdr:cNvGrpSpPr/>
        </xdr:nvGrpSpPr>
        <xdr:grpSpPr>
          <a:xfrm>
            <a:off x="340722" y="3277839"/>
            <a:ext cx="5420908" cy="1467766"/>
            <a:chOff x="40968" y="2124730"/>
            <a:chExt cx="5402356" cy="1494165"/>
          </a:xfrm>
        </xdr:grpSpPr>
        <xdr:sp macro="" textlink="Pv_A_Ver">
          <xdr:nvSpPr>
            <xdr:cNvPr id="218" name="P_v_A">
              <a:extLst>
                <a:ext uri="{FF2B5EF4-FFF2-40B4-BE49-F238E27FC236}">
                  <a16:creationId xmlns:a16="http://schemas.microsoft.com/office/drawing/2014/main" id="{0168FC70-D173-FC03-5AD7-4A95138A45A6}"/>
                </a:ext>
              </a:extLst>
            </xdr:cNvPr>
            <xdr:cNvSpPr txBox="1"/>
          </xdr:nvSpPr>
          <xdr:spPr>
            <a:xfrm>
              <a:off x="164993" y="3381503"/>
              <a:ext cx="1088138" cy="2203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AA854EAE-05BF-4AF5-A65E-B1C38CF3180A}" type="TxLink">
                <a:rPr lang="en-US" sz="1200" b="1" i="0" u="none" strike="noStrike">
                  <a:solidFill>
                    <a:srgbClr val="000000"/>
                  </a:solidFill>
                  <a:latin typeface="Calibri"/>
                  <a:ea typeface="Calibri"/>
                  <a:cs typeface="Calibri"/>
                </a:rPr>
                <a:pPr algn="r"/>
                <a:t>100 kN ↑</a:t>
              </a:fld>
              <a:endParaRPr lang="es-ES" sz="900" b="1">
                <a:solidFill>
                  <a:schemeClr val="accent1">
                    <a:lumMod val="75000"/>
                  </a:schemeClr>
                </a:solidFill>
              </a:endParaRPr>
            </a:p>
          </xdr:txBody>
        </xdr:sp>
        <xdr:sp macro="" textlink="Ph_A_Ver">
          <xdr:nvSpPr>
            <xdr:cNvPr id="219" name="P_h_A">
              <a:extLst>
                <a:ext uri="{FF2B5EF4-FFF2-40B4-BE49-F238E27FC236}">
                  <a16:creationId xmlns:a16="http://schemas.microsoft.com/office/drawing/2014/main" id="{84F8355F-3178-1238-21B1-A7B25B2D745C}"/>
                </a:ext>
              </a:extLst>
            </xdr:cNvPr>
            <xdr:cNvSpPr txBox="1"/>
          </xdr:nvSpPr>
          <xdr:spPr>
            <a:xfrm>
              <a:off x="40968" y="3247016"/>
              <a:ext cx="1092077" cy="178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68B9531-2667-403A-AD4C-CFC87B4AB054}" type="TxLink">
                <a:rPr lang="en-US" sz="1200" b="1" i="0" u="none" strike="noStrike">
                  <a:solidFill>
                    <a:srgbClr val="000000"/>
                  </a:solidFill>
                  <a:latin typeface="Calibri"/>
                  <a:ea typeface="Calibri"/>
                  <a:cs typeface="Calibri"/>
                </a:rPr>
                <a:pPr algn="r"/>
                <a:t>50 kN ←</a:t>
              </a:fld>
              <a:endParaRPr lang="es-ES" sz="1000" b="1">
                <a:solidFill>
                  <a:schemeClr val="accent1">
                    <a:lumMod val="75000"/>
                  </a:schemeClr>
                </a:solidFill>
              </a:endParaRPr>
            </a:p>
          </xdr:txBody>
        </xdr:sp>
        <xdr:sp macro="" textlink="Pv_B_Ver">
          <xdr:nvSpPr>
            <xdr:cNvPr id="220" name="P_v_B">
              <a:extLst>
                <a:ext uri="{FF2B5EF4-FFF2-40B4-BE49-F238E27FC236}">
                  <a16:creationId xmlns:a16="http://schemas.microsoft.com/office/drawing/2014/main" id="{36A59D4C-4EFD-7250-6C97-C057E279424D}"/>
                </a:ext>
              </a:extLst>
            </xdr:cNvPr>
            <xdr:cNvSpPr txBox="1"/>
          </xdr:nvSpPr>
          <xdr:spPr>
            <a:xfrm>
              <a:off x="1752342" y="3369414"/>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9F0B95E7-5297-4C18-9E86-926EE3E85C77}" type="TxLink">
                <a:rPr lang="en-US" sz="1200" b="1" i="0" u="none" strike="noStrike">
                  <a:solidFill>
                    <a:srgbClr val="000000"/>
                  </a:solidFill>
                  <a:latin typeface="Calibri"/>
                  <a:ea typeface="Calibri"/>
                  <a:cs typeface="Calibri"/>
                </a:rPr>
                <a:pPr algn="r"/>
                <a:t> </a:t>
              </a:fld>
              <a:endParaRPr lang="es-ES" sz="900" b="1">
                <a:solidFill>
                  <a:schemeClr val="accent1">
                    <a:lumMod val="75000"/>
                  </a:schemeClr>
                </a:solidFill>
              </a:endParaRPr>
            </a:p>
          </xdr:txBody>
        </xdr:sp>
        <xdr:sp macro="" textlink="Ph_B_Ver">
          <xdr:nvSpPr>
            <xdr:cNvPr id="221" name="P_h_B">
              <a:extLst>
                <a:ext uri="{FF2B5EF4-FFF2-40B4-BE49-F238E27FC236}">
                  <a16:creationId xmlns:a16="http://schemas.microsoft.com/office/drawing/2014/main" id="{68C68D4C-E8F8-BC81-9214-E41C308AEB99}"/>
                </a:ext>
              </a:extLst>
            </xdr:cNvPr>
            <xdr:cNvSpPr txBox="1"/>
          </xdr:nvSpPr>
          <xdr:spPr>
            <a:xfrm>
              <a:off x="2823988" y="3356063"/>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80C39A1C-37E8-4573-BD93-5CDEC6E2E1DB}" type="TxLink">
                <a:rPr lang="en-US" sz="1200" b="1" i="0" u="none" strike="noStrike">
                  <a:solidFill>
                    <a:srgbClr val="000000"/>
                  </a:solidFill>
                  <a:latin typeface="Calibri"/>
                  <a:ea typeface="Calibri"/>
                  <a:cs typeface="Calibri"/>
                </a:rPr>
                <a:pPr algn="l"/>
                <a:t> </a:t>
              </a:fld>
              <a:endParaRPr lang="es-ES" sz="1000" b="1">
                <a:solidFill>
                  <a:schemeClr val="accent1">
                    <a:lumMod val="75000"/>
                  </a:schemeClr>
                </a:solidFill>
              </a:endParaRPr>
            </a:p>
          </xdr:txBody>
        </xdr:sp>
        <xdr:sp macro="" textlink="Pv_C_Ver">
          <xdr:nvSpPr>
            <xdr:cNvPr id="222" name="P_v_C">
              <a:extLst>
                <a:ext uri="{FF2B5EF4-FFF2-40B4-BE49-F238E27FC236}">
                  <a16:creationId xmlns:a16="http://schemas.microsoft.com/office/drawing/2014/main" id="{587FCCEB-2604-CF34-FAA8-EAD7C9349F3A}"/>
                </a:ext>
              </a:extLst>
            </xdr:cNvPr>
            <xdr:cNvSpPr txBox="1"/>
          </xdr:nvSpPr>
          <xdr:spPr>
            <a:xfrm>
              <a:off x="3244108" y="3390869"/>
              <a:ext cx="1122151" cy="2280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81162140-DC31-47F5-BBC5-488C38A07EBF}" type="TxLink">
                <a:rPr lang="en-US" sz="1200" b="1" i="0" u="none" strike="noStrike">
                  <a:solidFill>
                    <a:srgbClr val="000000"/>
                  </a:solidFill>
                  <a:latin typeface="Calibri"/>
                  <a:ea typeface="Calibri"/>
                  <a:cs typeface="Calibri"/>
                </a:rPr>
                <a:pPr algn="r"/>
                <a:t> </a:t>
              </a:fld>
              <a:endParaRPr lang="es-ES" sz="1050" b="1">
                <a:solidFill>
                  <a:schemeClr val="accent1">
                    <a:lumMod val="75000"/>
                  </a:schemeClr>
                </a:solidFill>
              </a:endParaRPr>
            </a:p>
          </xdr:txBody>
        </xdr:sp>
        <xdr:sp macro="" textlink="Ph_C_Ver">
          <xdr:nvSpPr>
            <xdr:cNvPr id="223" name="P_h_C">
              <a:extLst>
                <a:ext uri="{FF2B5EF4-FFF2-40B4-BE49-F238E27FC236}">
                  <a16:creationId xmlns:a16="http://schemas.microsoft.com/office/drawing/2014/main" id="{FFD8D69E-F106-AB27-212C-D54CEEF268A3}"/>
                </a:ext>
              </a:extLst>
            </xdr:cNvPr>
            <xdr:cNvSpPr txBox="1"/>
          </xdr:nvSpPr>
          <xdr:spPr>
            <a:xfrm>
              <a:off x="4375052" y="3247156"/>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92BA71C9-CF62-4598-BDCB-537582002616}" type="TxLink">
                <a:rPr lang="en-US" sz="1200" b="1" i="0" u="none" strike="noStrike">
                  <a:solidFill>
                    <a:srgbClr val="000000"/>
                  </a:solidFill>
                  <a:latin typeface="Calibri"/>
                  <a:ea typeface="Calibri"/>
                  <a:cs typeface="Calibri"/>
                </a:rPr>
                <a:pPr algn="l"/>
                <a:t> </a:t>
              </a:fld>
              <a:endParaRPr lang="es-ES" sz="1050" b="1">
                <a:solidFill>
                  <a:schemeClr val="accent1">
                    <a:lumMod val="75000"/>
                  </a:schemeClr>
                </a:solidFill>
              </a:endParaRPr>
            </a:p>
          </xdr:txBody>
        </xdr:sp>
        <xdr:sp macro="" textlink="Pv_D_Ver">
          <xdr:nvSpPr>
            <xdr:cNvPr id="224" name="P_v_D">
              <a:extLst>
                <a:ext uri="{FF2B5EF4-FFF2-40B4-BE49-F238E27FC236}">
                  <a16:creationId xmlns:a16="http://schemas.microsoft.com/office/drawing/2014/main" id="{FA4D0E2F-C807-EEEC-EC07-9CAC73195093}"/>
                </a:ext>
              </a:extLst>
            </xdr:cNvPr>
            <xdr:cNvSpPr txBox="1"/>
          </xdr:nvSpPr>
          <xdr:spPr>
            <a:xfrm>
              <a:off x="955122" y="2185900"/>
              <a:ext cx="1063652" cy="201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56875D57-607E-402E-98E4-6426FAB8DFBD}" type="TxLink">
                <a:rPr lang="en-US" sz="1200" b="1" i="0" u="none" strike="noStrike">
                  <a:solidFill>
                    <a:srgbClr val="000000"/>
                  </a:solidFill>
                  <a:latin typeface="Calibri"/>
                  <a:ea typeface="Calibri"/>
                  <a:cs typeface="Calibri"/>
                </a:rPr>
                <a:pPr algn="r"/>
                <a:t>100 kN ↑</a:t>
              </a:fld>
              <a:endParaRPr lang="es-ES" sz="900" b="1">
                <a:solidFill>
                  <a:schemeClr val="accent1">
                    <a:lumMod val="75000"/>
                  </a:schemeClr>
                </a:solidFill>
              </a:endParaRPr>
            </a:p>
          </xdr:txBody>
        </xdr:sp>
        <xdr:sp macro="" textlink="Ph_D_Ver">
          <xdr:nvSpPr>
            <xdr:cNvPr id="225" name="P_h_D">
              <a:extLst>
                <a:ext uri="{FF2B5EF4-FFF2-40B4-BE49-F238E27FC236}">
                  <a16:creationId xmlns:a16="http://schemas.microsoft.com/office/drawing/2014/main" id="{24935C08-8EC7-BFBC-46A7-63CEBE1EEEC0}"/>
                </a:ext>
              </a:extLst>
            </xdr:cNvPr>
            <xdr:cNvSpPr txBox="1"/>
          </xdr:nvSpPr>
          <xdr:spPr>
            <a:xfrm>
              <a:off x="802162" y="2323627"/>
              <a:ext cx="1092077" cy="1780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38B07797-5D5B-4643-B814-76ADF309F99A}" type="TxLink">
                <a:rPr lang="en-US" sz="1200" b="1" i="0" u="none" strike="noStrike">
                  <a:solidFill>
                    <a:srgbClr val="000000"/>
                  </a:solidFill>
                  <a:latin typeface="Calibri"/>
                  <a:ea typeface="Calibri"/>
                  <a:cs typeface="Calibri"/>
                </a:rPr>
                <a:pPr algn="r"/>
                <a:t>100 kN →</a:t>
              </a:fld>
              <a:endParaRPr lang="es-ES" sz="1050" b="1">
                <a:solidFill>
                  <a:schemeClr val="accent1">
                    <a:lumMod val="75000"/>
                  </a:schemeClr>
                </a:solidFill>
              </a:endParaRPr>
            </a:p>
          </xdr:txBody>
        </xdr:sp>
        <xdr:sp macro="" textlink="Pv_E_Ver">
          <xdr:nvSpPr>
            <xdr:cNvPr id="226" name="P_v_E">
              <a:extLst>
                <a:ext uri="{FF2B5EF4-FFF2-40B4-BE49-F238E27FC236}">
                  <a16:creationId xmlns:a16="http://schemas.microsoft.com/office/drawing/2014/main" id="{F531DAC8-2460-63FD-140D-CC0F5B1AF835}"/>
                </a:ext>
              </a:extLst>
            </xdr:cNvPr>
            <xdr:cNvSpPr txBox="1"/>
          </xdr:nvSpPr>
          <xdr:spPr>
            <a:xfrm>
              <a:off x="2446758" y="2124730"/>
              <a:ext cx="1122152" cy="2361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827853A-1017-4F98-A2C9-CB9A44C1BB79}" type="TxLink">
                <a:rPr lang="en-US" sz="1200" b="1" i="0" u="none" strike="noStrike">
                  <a:solidFill>
                    <a:srgbClr val="000000"/>
                  </a:solidFill>
                  <a:latin typeface="Calibri"/>
                  <a:ea typeface="Calibri"/>
                  <a:cs typeface="Calibri"/>
                </a:rPr>
                <a:pPr algn="r"/>
                <a:t>150 kN ↓</a:t>
              </a:fld>
              <a:endParaRPr lang="es-ES" sz="1200" b="1">
                <a:solidFill>
                  <a:schemeClr val="accent1">
                    <a:lumMod val="75000"/>
                  </a:schemeClr>
                </a:solidFill>
              </a:endParaRPr>
            </a:p>
          </xdr:txBody>
        </xdr:sp>
        <xdr:sp macro="" textlink="Ph_E_Ver">
          <xdr:nvSpPr>
            <xdr:cNvPr id="227" name="P_h_E">
              <a:extLst>
                <a:ext uri="{FF2B5EF4-FFF2-40B4-BE49-F238E27FC236}">
                  <a16:creationId xmlns:a16="http://schemas.microsoft.com/office/drawing/2014/main" id="{EC9C38CA-488C-17C8-6196-2462ABB2A7C3}"/>
                </a:ext>
              </a:extLst>
            </xdr:cNvPr>
            <xdr:cNvSpPr txBox="1"/>
          </xdr:nvSpPr>
          <xdr:spPr>
            <a:xfrm>
              <a:off x="3604527" y="2316594"/>
              <a:ext cx="1068272" cy="2035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l"/>
              <a:fld id="{6AD347C8-904D-4540-A5FB-DC138BA6E6AD}" type="TxLink">
                <a:rPr lang="en-US" sz="1200" b="1" i="0" u="none" strike="noStrike">
                  <a:solidFill>
                    <a:srgbClr val="000000"/>
                  </a:solidFill>
                  <a:latin typeface="Calibri"/>
                  <a:ea typeface="Calibri"/>
                  <a:cs typeface="Calibri"/>
                </a:rPr>
                <a:pPr algn="l"/>
                <a:t>← 150 kN</a:t>
              </a:fld>
              <a:endParaRPr lang="es-ES" sz="1100" b="1">
                <a:solidFill>
                  <a:schemeClr val="accent1">
                    <a:lumMod val="75000"/>
                  </a:schemeClr>
                </a:solidFill>
              </a:endParaRPr>
            </a:p>
          </xdr:txBody>
        </xdr:sp>
      </xdr:grpSp>
      <xdr:grpSp>
        <xdr:nvGrpSpPr>
          <xdr:cNvPr id="129" name="Apoyos">
            <a:extLst>
              <a:ext uri="{FF2B5EF4-FFF2-40B4-BE49-F238E27FC236}">
                <a16:creationId xmlns:a16="http://schemas.microsoft.com/office/drawing/2014/main" id="{A69FA3AC-B032-3D4B-7758-61728232EAFD}"/>
              </a:ext>
            </a:extLst>
          </xdr:cNvPr>
          <xdr:cNvGrpSpPr/>
        </xdr:nvGrpSpPr>
        <xdr:grpSpPr>
          <a:xfrm>
            <a:off x="556246" y="3065800"/>
            <a:ext cx="4292152" cy="1928090"/>
            <a:chOff x="484345" y="1922355"/>
            <a:chExt cx="4294057" cy="1933002"/>
          </a:xfrm>
        </xdr:grpSpPr>
        <xdr:grpSp>
          <xdr:nvGrpSpPr>
            <xdr:cNvPr id="171" name="Apoyo_A">
              <a:extLst>
                <a:ext uri="{FF2B5EF4-FFF2-40B4-BE49-F238E27FC236}">
                  <a16:creationId xmlns:a16="http://schemas.microsoft.com/office/drawing/2014/main" id="{3F568F9A-46A0-B9E3-3C86-C1EA7CD9767E}"/>
                </a:ext>
              </a:extLst>
            </xdr:cNvPr>
            <xdr:cNvGrpSpPr/>
          </xdr:nvGrpSpPr>
          <xdr:grpSpPr>
            <a:xfrm>
              <a:off x="484345" y="3107717"/>
              <a:ext cx="1034917" cy="709916"/>
              <a:chOff x="640459" y="2909443"/>
              <a:chExt cx="1032226" cy="730888"/>
            </a:xfrm>
          </xdr:grpSpPr>
          <xdr:sp macro="" textlink="Apoyo_A_Fijo">
            <xdr:nvSpPr>
              <xdr:cNvPr id="215" name="Ap_A_Fijo">
                <a:extLst>
                  <a:ext uri="{FF2B5EF4-FFF2-40B4-BE49-F238E27FC236}">
                    <a16:creationId xmlns:a16="http://schemas.microsoft.com/office/drawing/2014/main" id="{50956EFC-D3D6-5DCD-2206-DD1F9503E0EF}"/>
                  </a:ext>
                </a:extLst>
              </xdr:cNvPr>
              <xdr:cNvSpPr txBox="1"/>
            </xdr:nvSpPr>
            <xdr:spPr>
              <a:xfrm>
                <a:off x="640459" y="3298470"/>
                <a:ext cx="982524" cy="3418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1063CDEC-D813-497A-B58D-09517CA2C34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A_Movil">
            <xdr:nvSpPr>
              <xdr:cNvPr id="216" name="Ap_A_Móvil">
                <a:extLst>
                  <a:ext uri="{FF2B5EF4-FFF2-40B4-BE49-F238E27FC236}">
                    <a16:creationId xmlns:a16="http://schemas.microsoft.com/office/drawing/2014/main" id="{FE59C002-35A5-31B5-EDB3-B2B6C5FEBE7C}"/>
                  </a:ext>
                </a:extLst>
              </xdr:cNvPr>
              <xdr:cNvSpPr txBox="1"/>
            </xdr:nvSpPr>
            <xdr:spPr>
              <a:xfrm>
                <a:off x="694377" y="3368896"/>
                <a:ext cx="929850" cy="210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602546A5-4404-4F00-983C-66674A3091F5}"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A_Libre">
            <xdr:nvSpPr>
              <xdr:cNvPr id="217" name="Ap_A_Libre">
                <a:extLst>
                  <a:ext uri="{FF2B5EF4-FFF2-40B4-BE49-F238E27FC236}">
                    <a16:creationId xmlns:a16="http://schemas.microsoft.com/office/drawing/2014/main" id="{5981E33C-C61C-5FC2-6E79-FB78E0F65AD7}"/>
                  </a:ext>
                </a:extLst>
              </xdr:cNvPr>
              <xdr:cNvSpPr txBox="1"/>
            </xdr:nvSpPr>
            <xdr:spPr>
              <a:xfrm>
                <a:off x="1448631" y="2909443"/>
                <a:ext cx="224054"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3E9E765F-FC41-42A8-90C6-D57A305BEAC3}" type="TxLink">
                  <a:rPr lang="en-US" sz="900" b="1" i="0" u="none" strike="noStrike">
                    <a:solidFill>
                      <a:srgbClr val="000000"/>
                    </a:solidFill>
                    <a:latin typeface="Calibri"/>
                    <a:ea typeface="Calibri"/>
                    <a:cs typeface="Calibri"/>
                  </a:rPr>
                  <a:pPr algn="ctr"/>
                  <a:t>A</a:t>
                </a:fld>
                <a:endParaRPr lang="es-ES" sz="800">
                  <a:solidFill>
                    <a:schemeClr val="accent1">
                      <a:lumMod val="75000"/>
                    </a:schemeClr>
                  </a:solidFill>
                </a:endParaRPr>
              </a:p>
            </xdr:txBody>
          </xdr:sp>
        </xdr:grpSp>
        <xdr:grpSp>
          <xdr:nvGrpSpPr>
            <xdr:cNvPr id="172" name="Apoyo_B">
              <a:extLst>
                <a:ext uri="{FF2B5EF4-FFF2-40B4-BE49-F238E27FC236}">
                  <a16:creationId xmlns:a16="http://schemas.microsoft.com/office/drawing/2014/main" id="{460B1BE0-57D6-4224-FA6A-B17192C6B06B}"/>
                </a:ext>
              </a:extLst>
            </xdr:cNvPr>
            <xdr:cNvGrpSpPr/>
          </xdr:nvGrpSpPr>
          <xdr:grpSpPr>
            <a:xfrm>
              <a:off x="1844251" y="3105948"/>
              <a:ext cx="1631200" cy="648511"/>
              <a:chOff x="443311" y="2905206"/>
              <a:chExt cx="1632819" cy="671099"/>
            </a:xfrm>
          </xdr:grpSpPr>
          <xdr:sp macro="" textlink="Apoyo_B_Fijo">
            <xdr:nvSpPr>
              <xdr:cNvPr id="212" name="Ap_B_Fijo">
                <a:extLst>
                  <a:ext uri="{FF2B5EF4-FFF2-40B4-BE49-F238E27FC236}">
                    <a16:creationId xmlns:a16="http://schemas.microsoft.com/office/drawing/2014/main" id="{F9A116FA-8B88-9B9B-AE51-4F1A72DC7A52}"/>
                  </a:ext>
                </a:extLst>
              </xdr:cNvPr>
              <xdr:cNvSpPr txBox="1"/>
            </xdr:nvSpPr>
            <xdr:spPr>
              <a:xfrm>
                <a:off x="1112522" y="3187148"/>
                <a:ext cx="963608" cy="3593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ED3963D9-6463-4D09-A1FE-C294F5F5F2A5}" type="TxLink">
                  <a:rPr lang="en-US" sz="900" b="1" i="0" u="none" strike="noStrike">
                    <a:solidFill>
                      <a:srgbClr val="000000"/>
                    </a:solidFill>
                    <a:latin typeface="Calibri"/>
                    <a:ea typeface="Calibri"/>
                    <a:cs typeface="Calibri"/>
                  </a:rPr>
                  <a:pPr algn="ctr"/>
                  <a:t> </a:t>
                </a:fld>
                <a:endParaRPr lang="es-ES" sz="800">
                  <a:solidFill>
                    <a:srgbClr val="FF0000"/>
                  </a:solidFill>
                </a:endParaRPr>
              </a:p>
            </xdr:txBody>
          </xdr:sp>
          <xdr:sp macro="" textlink="Apoyo_B_Movil">
            <xdr:nvSpPr>
              <xdr:cNvPr id="213" name="Ap_B_Móvil">
                <a:extLst>
                  <a:ext uri="{FF2B5EF4-FFF2-40B4-BE49-F238E27FC236}">
                    <a16:creationId xmlns:a16="http://schemas.microsoft.com/office/drawing/2014/main" id="{ACFB2A1C-74C6-7C4A-1F10-C0AC9A3F49A7}"/>
                  </a:ext>
                </a:extLst>
              </xdr:cNvPr>
              <xdr:cNvSpPr txBox="1"/>
            </xdr:nvSpPr>
            <xdr:spPr>
              <a:xfrm>
                <a:off x="443311" y="3381917"/>
                <a:ext cx="1198282" cy="1943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6BEB29CD-A5F4-41AD-B3B5-0EFDC11594B2}" type="TxLink">
                  <a:rPr lang="en-US" sz="900" b="1" i="0" u="none" strike="noStrike">
                    <a:solidFill>
                      <a:srgbClr val="FF0000"/>
                    </a:solidFill>
                    <a:latin typeface="Calibri"/>
                    <a:ea typeface="Calibri"/>
                    <a:cs typeface="Calibri"/>
                  </a:rPr>
                  <a:pPr algn="r"/>
                  <a:t>Rv B = 260,57 kN ↓</a:t>
                </a:fld>
                <a:endParaRPr lang="es-ES" sz="800">
                  <a:solidFill>
                    <a:srgbClr val="FF0000"/>
                  </a:solidFill>
                </a:endParaRPr>
              </a:p>
            </xdr:txBody>
          </xdr:sp>
          <xdr:sp macro="" textlink="Apoyo_B_Libre">
            <xdr:nvSpPr>
              <xdr:cNvPr id="214" name="Ap_B_Libre">
                <a:extLst>
                  <a:ext uri="{FF2B5EF4-FFF2-40B4-BE49-F238E27FC236}">
                    <a16:creationId xmlns:a16="http://schemas.microsoft.com/office/drawing/2014/main" id="{7850D518-ABD0-DC11-0A98-8A25DB06BA5F}"/>
                  </a:ext>
                </a:extLst>
              </xdr:cNvPr>
              <xdr:cNvSpPr txBox="1"/>
            </xdr:nvSpPr>
            <xdr:spPr>
              <a:xfrm>
                <a:off x="1477430" y="2905206"/>
                <a:ext cx="224054" cy="2143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0AFF50E3-20B6-4D7A-8023-0B5710B12C70}" type="TxLink">
                  <a:rPr lang="en-US" sz="900" b="1" i="0" u="none" strike="noStrike">
                    <a:solidFill>
                      <a:sysClr val="windowText" lastClr="000000"/>
                    </a:solidFill>
                    <a:latin typeface="Calibri"/>
                    <a:ea typeface="Calibri"/>
                    <a:cs typeface="Calibri"/>
                  </a:rPr>
                  <a:pPr algn="ctr"/>
                  <a:t> </a:t>
                </a:fld>
                <a:endParaRPr lang="es-ES" sz="800">
                  <a:solidFill>
                    <a:sysClr val="windowText" lastClr="000000"/>
                  </a:solidFill>
                </a:endParaRPr>
              </a:p>
            </xdr:txBody>
          </xdr:sp>
        </xdr:grpSp>
        <xdr:grpSp>
          <xdr:nvGrpSpPr>
            <xdr:cNvPr id="173" name="Apoyo_C">
              <a:extLst>
                <a:ext uri="{FF2B5EF4-FFF2-40B4-BE49-F238E27FC236}">
                  <a16:creationId xmlns:a16="http://schemas.microsoft.com/office/drawing/2014/main" id="{FC07F83F-35E6-02C4-E5CC-730480347203}"/>
                </a:ext>
              </a:extLst>
            </xdr:cNvPr>
            <xdr:cNvGrpSpPr/>
          </xdr:nvGrpSpPr>
          <xdr:grpSpPr>
            <a:xfrm>
              <a:off x="3402483" y="3108597"/>
              <a:ext cx="1304038" cy="746760"/>
              <a:chOff x="435913" y="2923834"/>
              <a:chExt cx="1308977" cy="760569"/>
            </a:xfrm>
          </xdr:grpSpPr>
          <xdr:sp macro="" textlink="Apoyo_C_Fijo">
            <xdr:nvSpPr>
              <xdr:cNvPr id="207" name="Ap_C_Fijo">
                <a:extLst>
                  <a:ext uri="{FF2B5EF4-FFF2-40B4-BE49-F238E27FC236}">
                    <a16:creationId xmlns:a16="http://schemas.microsoft.com/office/drawing/2014/main" id="{8F28F401-35FE-C8D4-956E-4DBF2A5F4FA4}"/>
                  </a:ext>
                </a:extLst>
              </xdr:cNvPr>
              <xdr:cNvSpPr txBox="1"/>
            </xdr:nvSpPr>
            <xdr:spPr>
              <a:xfrm>
                <a:off x="435913" y="3332093"/>
                <a:ext cx="1204594" cy="35231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nchorCtr="0">
                <a:noAutofit/>
              </a:bodyPr>
              <a:lstStyle/>
              <a:p>
                <a:pPr algn="r"/>
                <a:fld id="{7F034824-3F83-447F-AD1D-5EF56467EFDD}" type="TxLink">
                  <a:rPr lang="en-US" sz="900" b="1" i="0" u="none" strike="noStrike">
                    <a:solidFill>
                      <a:srgbClr val="FF0000"/>
                    </a:solidFill>
                    <a:latin typeface="Calibri"/>
                    <a:ea typeface="Calibri"/>
                    <a:cs typeface="Calibri"/>
                  </a:rPr>
                  <a:pPr algn="r"/>
                  <a:t>Rv C = 210,57 kN ↑ 
Rh C = 100 kN →</a:t>
                </a:fld>
                <a:endParaRPr lang="es-ES" sz="800">
                  <a:solidFill>
                    <a:srgbClr val="FF0000"/>
                  </a:solidFill>
                </a:endParaRPr>
              </a:p>
            </xdr:txBody>
          </xdr:sp>
          <xdr:sp macro="" textlink="Apoyo_C_Movil">
            <xdr:nvSpPr>
              <xdr:cNvPr id="209" name="Ap_C_Móvil">
                <a:extLst>
                  <a:ext uri="{FF2B5EF4-FFF2-40B4-BE49-F238E27FC236}">
                    <a16:creationId xmlns:a16="http://schemas.microsoft.com/office/drawing/2014/main" id="{F0F1A18B-85B4-E26E-7AB1-092F30CE8712}"/>
                  </a:ext>
                </a:extLst>
              </xdr:cNvPr>
              <xdr:cNvSpPr txBox="1"/>
            </xdr:nvSpPr>
            <xdr:spPr>
              <a:xfrm>
                <a:off x="509333" y="3381708"/>
                <a:ext cx="1120730" cy="1437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spAutoFit/>
              </a:bodyPr>
              <a:lstStyle/>
              <a:p>
                <a:pPr algn="r"/>
                <a:fld id="{DEF549F8-BDB8-4DFC-AACC-2E2DE06F8B60}"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C_Libre">
            <xdr:nvSpPr>
              <xdr:cNvPr id="211" name="Ap_C_Libre">
                <a:extLst>
                  <a:ext uri="{FF2B5EF4-FFF2-40B4-BE49-F238E27FC236}">
                    <a16:creationId xmlns:a16="http://schemas.microsoft.com/office/drawing/2014/main" id="{999B34B7-75CC-E5DC-EA4D-E8AA33C4EFBF}"/>
                  </a:ext>
                </a:extLst>
              </xdr:cNvPr>
              <xdr:cNvSpPr txBox="1"/>
            </xdr:nvSpPr>
            <xdr:spPr>
              <a:xfrm>
                <a:off x="1520836" y="2923834"/>
                <a:ext cx="224054"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D965B0F9-AA2F-4AD3-B66B-9BDEA891186B}" type="TxLink">
                  <a:rPr lang="en-US" sz="900" b="1" i="0" u="none" strike="noStrike">
                    <a:solidFill>
                      <a:srgbClr val="000000"/>
                    </a:solidFill>
                    <a:latin typeface="Calibri"/>
                    <a:ea typeface="Calibri"/>
                    <a:cs typeface="Calibri"/>
                  </a:rPr>
                  <a:pPr algn="ctr"/>
                  <a:t> </a:t>
                </a:fld>
                <a:endParaRPr lang="es-ES" sz="800">
                  <a:solidFill>
                    <a:srgbClr val="FF0000"/>
                  </a:solidFill>
                </a:endParaRPr>
              </a:p>
            </xdr:txBody>
          </xdr:sp>
        </xdr:grpSp>
        <xdr:grpSp>
          <xdr:nvGrpSpPr>
            <xdr:cNvPr id="174" name="Apoyo_D">
              <a:extLst>
                <a:ext uri="{FF2B5EF4-FFF2-40B4-BE49-F238E27FC236}">
                  <a16:creationId xmlns:a16="http://schemas.microsoft.com/office/drawing/2014/main" id="{88CB82EC-6E12-C76A-6D91-06AC5FD9F2AD}"/>
                </a:ext>
              </a:extLst>
            </xdr:cNvPr>
            <xdr:cNvGrpSpPr/>
          </xdr:nvGrpSpPr>
          <xdr:grpSpPr>
            <a:xfrm>
              <a:off x="1091960" y="1922355"/>
              <a:ext cx="1230144" cy="746072"/>
              <a:chOff x="495193" y="2867996"/>
              <a:chExt cx="1226948" cy="768119"/>
            </a:xfrm>
          </xdr:grpSpPr>
          <xdr:sp macro="" textlink="Apoyo_D_Libre">
            <xdr:nvSpPr>
              <xdr:cNvPr id="201" name="Ap_D_Libre">
                <a:extLst>
                  <a:ext uri="{FF2B5EF4-FFF2-40B4-BE49-F238E27FC236}">
                    <a16:creationId xmlns:a16="http://schemas.microsoft.com/office/drawing/2014/main" id="{BDD70599-2A63-2239-2C9A-A01C4D0BB9CF}"/>
                  </a:ext>
                </a:extLst>
              </xdr:cNvPr>
              <xdr:cNvSpPr txBox="1"/>
            </xdr:nvSpPr>
            <xdr:spPr>
              <a:xfrm>
                <a:off x="1498087" y="3421802"/>
                <a:ext cx="224054"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23195DED-078B-4808-B729-4ECC97A7B95C}" type="TxLink">
                  <a:rPr lang="en-US" sz="900" b="1" i="0" u="none" strike="noStrike">
                    <a:solidFill>
                      <a:srgbClr val="000000"/>
                    </a:solidFill>
                    <a:latin typeface="Calibri"/>
                    <a:ea typeface="Calibri"/>
                    <a:cs typeface="Calibri"/>
                  </a:rPr>
                  <a:pPr algn="ctr"/>
                  <a:t>D</a:t>
                </a:fld>
                <a:endParaRPr lang="es-ES" sz="800">
                  <a:solidFill>
                    <a:schemeClr val="accent1">
                      <a:lumMod val="75000"/>
                    </a:schemeClr>
                  </a:solidFill>
                </a:endParaRPr>
              </a:p>
            </xdr:txBody>
          </xdr:sp>
          <xdr:sp macro="" textlink="Apoyo_D_Movil">
            <xdr:nvSpPr>
              <xdr:cNvPr id="202" name="Ap_D_Móvil">
                <a:extLst>
                  <a:ext uri="{FF2B5EF4-FFF2-40B4-BE49-F238E27FC236}">
                    <a16:creationId xmlns:a16="http://schemas.microsoft.com/office/drawing/2014/main" id="{5AFF31F7-54D8-2000-3C3C-93A13C1B1DF7}"/>
                  </a:ext>
                </a:extLst>
              </xdr:cNvPr>
              <xdr:cNvSpPr txBox="1"/>
            </xdr:nvSpPr>
            <xdr:spPr>
              <a:xfrm>
                <a:off x="495193" y="2927618"/>
                <a:ext cx="1145564" cy="21590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989C7E5D-CC15-4C43-8DCD-8F61766A2DB3}"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D_Fijo">
            <xdr:nvSpPr>
              <xdr:cNvPr id="203" name="Ap_D_Fijo">
                <a:extLst>
                  <a:ext uri="{FF2B5EF4-FFF2-40B4-BE49-F238E27FC236}">
                    <a16:creationId xmlns:a16="http://schemas.microsoft.com/office/drawing/2014/main" id="{726197E7-2985-EAF9-090D-DFD5B9B22BFC}"/>
                  </a:ext>
                </a:extLst>
              </xdr:cNvPr>
              <xdr:cNvSpPr txBox="1"/>
            </xdr:nvSpPr>
            <xdr:spPr>
              <a:xfrm>
                <a:off x="658499" y="2867996"/>
                <a:ext cx="975669" cy="3653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218A5E64-8BC2-420B-983F-F3B86168B506}"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grpSp>
        <xdr:grpSp>
          <xdr:nvGrpSpPr>
            <xdr:cNvPr id="175" name="Apoyo_E">
              <a:extLst>
                <a:ext uri="{FF2B5EF4-FFF2-40B4-BE49-F238E27FC236}">
                  <a16:creationId xmlns:a16="http://schemas.microsoft.com/office/drawing/2014/main" id="{CFB61BB7-D1EA-5159-B80A-1E4DCC3421B1}"/>
                </a:ext>
              </a:extLst>
            </xdr:cNvPr>
            <xdr:cNvGrpSpPr/>
          </xdr:nvGrpSpPr>
          <xdr:grpSpPr>
            <a:xfrm>
              <a:off x="2791828" y="1955621"/>
              <a:ext cx="1086225" cy="717185"/>
              <a:chOff x="623885" y="2913250"/>
              <a:chExt cx="1083405" cy="738372"/>
            </a:xfrm>
          </xdr:grpSpPr>
          <xdr:sp macro="" textlink="Apoyo_E_Fijo">
            <xdr:nvSpPr>
              <xdr:cNvPr id="197" name="Ap_E_Fijo">
                <a:extLst>
                  <a:ext uri="{FF2B5EF4-FFF2-40B4-BE49-F238E27FC236}">
                    <a16:creationId xmlns:a16="http://schemas.microsoft.com/office/drawing/2014/main" id="{046D8760-D89D-DE07-C54A-62F8AB4B57E8}"/>
                  </a:ext>
                </a:extLst>
              </xdr:cNvPr>
              <xdr:cNvSpPr txBox="1"/>
            </xdr:nvSpPr>
            <xdr:spPr>
              <a:xfrm>
                <a:off x="623885" y="2913250"/>
                <a:ext cx="1003655" cy="3532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CF771758-CA34-4A38-BA44-D76CEA02E03C}"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E_Movil">
            <xdr:nvSpPr>
              <xdr:cNvPr id="198" name="Ap_E_Móvil">
                <a:extLst>
                  <a:ext uri="{FF2B5EF4-FFF2-40B4-BE49-F238E27FC236}">
                    <a16:creationId xmlns:a16="http://schemas.microsoft.com/office/drawing/2014/main" id="{B2DC431A-9A68-26CE-88D1-0E483F220A4D}"/>
                  </a:ext>
                </a:extLst>
              </xdr:cNvPr>
              <xdr:cNvSpPr txBox="1"/>
            </xdr:nvSpPr>
            <xdr:spPr>
              <a:xfrm>
                <a:off x="685150" y="2943999"/>
                <a:ext cx="937573" cy="2143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b" anchorCtr="0">
                <a:noAutofit/>
              </a:bodyPr>
              <a:lstStyle/>
              <a:p>
                <a:pPr algn="r"/>
                <a:fld id="{09FE26D5-BE65-424C-9E34-02AB2F88D838}" type="TxLink">
                  <a:rPr lang="en-US" sz="900" b="1" i="0" u="none" strike="noStrike">
                    <a:solidFill>
                      <a:srgbClr val="FF0000"/>
                    </a:solidFill>
                    <a:latin typeface="Calibri"/>
                    <a:ea typeface="Calibri"/>
                    <a:cs typeface="Calibri"/>
                  </a:rPr>
                  <a:pPr algn="r"/>
                  <a:t> </a:t>
                </a:fld>
                <a:endParaRPr lang="es-ES" sz="800">
                  <a:solidFill>
                    <a:srgbClr val="FF0000"/>
                  </a:solidFill>
                </a:endParaRPr>
              </a:p>
            </xdr:txBody>
          </xdr:sp>
          <xdr:sp macro="" textlink="Apoyo_E_Libre">
            <xdr:nvSpPr>
              <xdr:cNvPr id="199" name="Ap_E_Libre">
                <a:extLst>
                  <a:ext uri="{FF2B5EF4-FFF2-40B4-BE49-F238E27FC236}">
                    <a16:creationId xmlns:a16="http://schemas.microsoft.com/office/drawing/2014/main" id="{D45FB86D-96C9-534E-8DE3-45BAACDF2204}"/>
                  </a:ext>
                </a:extLst>
              </xdr:cNvPr>
              <xdr:cNvSpPr txBox="1"/>
            </xdr:nvSpPr>
            <xdr:spPr>
              <a:xfrm>
                <a:off x="1483236" y="3437307"/>
                <a:ext cx="224054" cy="21431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nchorCtr="0">
                <a:noAutofit/>
              </a:bodyPr>
              <a:lstStyle/>
              <a:p>
                <a:pPr algn="ctr"/>
                <a:fld id="{1E6578D6-66E2-4517-A73E-D96DEFA3ACE7}" type="TxLink">
                  <a:rPr lang="en-US" sz="900" b="1" i="0" u="none" strike="noStrike">
                    <a:solidFill>
                      <a:srgbClr val="000000"/>
                    </a:solidFill>
                    <a:latin typeface="Calibri"/>
                    <a:ea typeface="Calibri"/>
                    <a:cs typeface="Calibri"/>
                  </a:rPr>
                  <a:pPr algn="ctr"/>
                  <a:t>E</a:t>
                </a:fld>
                <a:endParaRPr lang="es-ES" sz="800">
                  <a:solidFill>
                    <a:schemeClr val="accent1">
                      <a:lumMod val="75000"/>
                    </a:schemeClr>
                  </a:solidFill>
                </a:endParaRPr>
              </a:p>
            </xdr:txBody>
          </xdr:sp>
        </xdr:grpSp>
        <xdr:grpSp>
          <xdr:nvGrpSpPr>
            <xdr:cNvPr id="178" name="Triangulos">
              <a:extLst>
                <a:ext uri="{FF2B5EF4-FFF2-40B4-BE49-F238E27FC236}">
                  <a16:creationId xmlns:a16="http://schemas.microsoft.com/office/drawing/2014/main" id="{CEC18B20-29A2-A72E-FAB5-F2489E8C8402}"/>
                </a:ext>
              </a:extLst>
            </xdr:cNvPr>
            <xdr:cNvGrpSpPr/>
          </xdr:nvGrpSpPr>
          <xdr:grpSpPr>
            <a:xfrm>
              <a:off x="1275172" y="2202461"/>
              <a:ext cx="3409627" cy="1376092"/>
              <a:chOff x="1269264" y="2191762"/>
              <a:chExt cx="3389611" cy="1363464"/>
            </a:xfrm>
          </xdr:grpSpPr>
          <xdr:sp macro="" textlink="OCULTOS!$M$10">
            <xdr:nvSpPr>
              <xdr:cNvPr id="185" name="Apoyo A">
                <a:extLst>
                  <a:ext uri="{FF2B5EF4-FFF2-40B4-BE49-F238E27FC236}">
                    <a16:creationId xmlns:a16="http://schemas.microsoft.com/office/drawing/2014/main" id="{063B7BF1-E91B-37FF-F798-A12367259165}"/>
                  </a:ext>
                </a:extLst>
              </xdr:cNvPr>
              <xdr:cNvSpPr txBox="1"/>
            </xdr:nvSpPr>
            <xdr:spPr>
              <a:xfrm>
                <a:off x="1269264" y="3275491"/>
                <a:ext cx="283449" cy="26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5FB7F488-3370-47A4-84C7-048A0009F2B5}" type="TxLink">
                  <a:rPr lang="en-US" sz="1400" b="0" i="0" u="none" strike="noStrike">
                    <a:solidFill>
                      <a:srgbClr val="FF0000"/>
                    </a:solidFill>
                    <a:latin typeface="Calibri"/>
                    <a:ea typeface="Calibri"/>
                    <a:cs typeface="Calibri"/>
                  </a:rPr>
                  <a:pPr algn="ctr"/>
                  <a:t> </a:t>
                </a:fld>
                <a:endParaRPr lang="es-ES" sz="1400" b="0">
                  <a:solidFill>
                    <a:srgbClr val="FF0000"/>
                  </a:solidFill>
                </a:endParaRPr>
              </a:p>
            </xdr:txBody>
          </xdr:sp>
          <xdr:sp macro="" textlink="OCULTOS!$M$11">
            <xdr:nvSpPr>
              <xdr:cNvPr id="186" name="Apoyo B">
                <a:extLst>
                  <a:ext uri="{FF2B5EF4-FFF2-40B4-BE49-F238E27FC236}">
                    <a16:creationId xmlns:a16="http://schemas.microsoft.com/office/drawing/2014/main" id="{4D461EFC-55BE-815E-B67F-49C66BDE9C37}"/>
                  </a:ext>
                </a:extLst>
              </xdr:cNvPr>
              <xdr:cNvSpPr txBox="1"/>
            </xdr:nvSpPr>
            <xdr:spPr>
              <a:xfrm>
                <a:off x="2831033" y="3274080"/>
                <a:ext cx="283449" cy="26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6401286-85C4-4374-BA8F-F6C254A7C5D7}" type="TxLink">
                  <a:rPr lang="en-US" sz="1600" b="0" i="0" u="none" strike="noStrike">
                    <a:solidFill>
                      <a:srgbClr val="FF0000"/>
                    </a:solidFill>
                    <a:latin typeface="Calibri"/>
                    <a:ea typeface="Calibri"/>
                    <a:cs typeface="Calibri"/>
                  </a:rPr>
                  <a:pPr algn="ctr"/>
                  <a:t>▲</a:t>
                </a:fld>
                <a:endParaRPr lang="es-ES" sz="1600" b="0">
                  <a:solidFill>
                    <a:srgbClr val="FF0000"/>
                  </a:solidFill>
                </a:endParaRPr>
              </a:p>
            </xdr:txBody>
          </xdr:sp>
          <xdr:sp macro="" textlink="OCULTOS!$M$12">
            <xdr:nvSpPr>
              <xdr:cNvPr id="187" name="Apoyo C">
                <a:extLst>
                  <a:ext uri="{FF2B5EF4-FFF2-40B4-BE49-F238E27FC236}">
                    <a16:creationId xmlns:a16="http://schemas.microsoft.com/office/drawing/2014/main" id="{1C4F2378-AFCB-4B57-EF2B-57128F5C9BD4}"/>
                  </a:ext>
                </a:extLst>
              </xdr:cNvPr>
              <xdr:cNvSpPr txBox="1"/>
            </xdr:nvSpPr>
            <xdr:spPr>
              <a:xfrm>
                <a:off x="4375426" y="3286501"/>
                <a:ext cx="283449" cy="2687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0771B7E-D867-4EF9-9305-5A7535C486E4}" type="TxLink">
                  <a:rPr lang="en-US" sz="1600" b="0" i="0" u="none" strike="noStrike">
                    <a:solidFill>
                      <a:srgbClr val="FF0000"/>
                    </a:solidFill>
                    <a:latin typeface="Calibri"/>
                    <a:ea typeface="Calibri"/>
                    <a:cs typeface="Calibri"/>
                  </a:rPr>
                  <a:pPr algn="ctr"/>
                  <a:t>▲</a:t>
                </a:fld>
                <a:endParaRPr lang="es-ES" sz="1600" b="0">
                  <a:solidFill>
                    <a:srgbClr val="FF0000"/>
                  </a:solidFill>
                </a:endParaRPr>
              </a:p>
            </xdr:txBody>
          </xdr:sp>
          <xdr:sp macro="" textlink="OCULTOS!$M$13">
            <xdr:nvSpPr>
              <xdr:cNvPr id="188" name="Apoyo D">
                <a:extLst>
                  <a:ext uri="{FF2B5EF4-FFF2-40B4-BE49-F238E27FC236}">
                    <a16:creationId xmlns:a16="http://schemas.microsoft.com/office/drawing/2014/main" id="{E529E03B-684F-CBB8-C0D1-54B9BE925904}"/>
                  </a:ext>
                </a:extLst>
              </xdr:cNvPr>
              <xdr:cNvSpPr txBox="1"/>
            </xdr:nvSpPr>
            <xdr:spPr>
              <a:xfrm rot="10800000">
                <a:off x="2044516" y="2191762"/>
                <a:ext cx="283449" cy="26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61EA2B-559A-4D3C-BFBA-767C4F30DE2F}" type="TxLink">
                  <a:rPr lang="en-US" sz="1600" b="0" i="0" u="none" strike="noStrike">
                    <a:solidFill>
                      <a:srgbClr val="FF0000"/>
                    </a:solidFill>
                    <a:latin typeface="Calibri"/>
                    <a:ea typeface="Calibri"/>
                    <a:cs typeface="Calibri"/>
                  </a:rPr>
                  <a:pPr algn="ctr"/>
                  <a:t> </a:t>
                </a:fld>
                <a:endParaRPr lang="es-ES" sz="1600">
                  <a:solidFill>
                    <a:srgbClr val="FF0000"/>
                  </a:solidFill>
                </a:endParaRPr>
              </a:p>
            </xdr:txBody>
          </xdr:sp>
          <xdr:sp macro="" textlink="OCULTOS!$M$14">
            <xdr:nvSpPr>
              <xdr:cNvPr id="189" name="Apoyo E">
                <a:extLst>
                  <a:ext uri="{FF2B5EF4-FFF2-40B4-BE49-F238E27FC236}">
                    <a16:creationId xmlns:a16="http://schemas.microsoft.com/office/drawing/2014/main" id="{C2D914B4-5A2E-CCE0-A25A-11C4E60010BF}"/>
                  </a:ext>
                </a:extLst>
              </xdr:cNvPr>
              <xdr:cNvSpPr txBox="1"/>
            </xdr:nvSpPr>
            <xdr:spPr>
              <a:xfrm rot="10800000">
                <a:off x="3600174" y="2197652"/>
                <a:ext cx="283449" cy="2687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59A5820-0DDF-4F5A-9A4B-731B3ACBAC02}" type="TxLink">
                  <a:rPr lang="en-US" sz="1600" b="0" i="0" u="none" strike="noStrike">
                    <a:solidFill>
                      <a:srgbClr val="FF0000"/>
                    </a:solidFill>
                    <a:latin typeface="Calibri"/>
                    <a:ea typeface="Calibri"/>
                    <a:cs typeface="Calibri"/>
                  </a:rPr>
                  <a:pPr algn="ctr"/>
                  <a:t> </a:t>
                </a:fld>
                <a:endParaRPr lang="es-ES" sz="1600">
                  <a:solidFill>
                    <a:srgbClr val="FF0000"/>
                  </a:solidFill>
                </a:endParaRPr>
              </a:p>
            </xdr:txBody>
          </xdr:sp>
        </xdr:grpSp>
        <xdr:grpSp>
          <xdr:nvGrpSpPr>
            <xdr:cNvPr id="179" name="Ruedas">
              <a:extLst>
                <a:ext uri="{FF2B5EF4-FFF2-40B4-BE49-F238E27FC236}">
                  <a16:creationId xmlns:a16="http://schemas.microsoft.com/office/drawing/2014/main" id="{EC1AAABF-C5AA-86D8-3EC8-ACF191F9FC9B}"/>
                </a:ext>
              </a:extLst>
            </xdr:cNvPr>
            <xdr:cNvGrpSpPr/>
          </xdr:nvGrpSpPr>
          <xdr:grpSpPr>
            <a:xfrm>
              <a:off x="1184568" y="2109525"/>
              <a:ext cx="3593834" cy="1581151"/>
              <a:chOff x="1184568" y="2109525"/>
              <a:chExt cx="3593834" cy="1581151"/>
            </a:xfrm>
          </xdr:grpSpPr>
          <xdr:sp macro="" textlink="OCULTOS!$N$10">
            <xdr:nvSpPr>
              <xdr:cNvPr id="180" name="Ruedas A">
                <a:extLst>
                  <a:ext uri="{FF2B5EF4-FFF2-40B4-BE49-F238E27FC236}">
                    <a16:creationId xmlns:a16="http://schemas.microsoft.com/office/drawing/2014/main" id="{395DCCD3-537B-CC67-D034-460875DC08B7}"/>
                  </a:ext>
                </a:extLst>
              </xdr:cNvPr>
              <xdr:cNvSpPr txBox="1"/>
            </xdr:nvSpPr>
            <xdr:spPr>
              <a:xfrm>
                <a:off x="1184568" y="3419464"/>
                <a:ext cx="467341" cy="2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t"/>
              <a:lstStyle/>
              <a:p>
                <a:pPr algn="ctr"/>
                <a:fld id="{2CA24CFA-0C9F-41B1-A6C4-F5D6310B2C13}" type="TxLink">
                  <a:rPr lang="en-US" sz="1100" b="0" i="0" u="none" strike="noStrike">
                    <a:solidFill>
                      <a:srgbClr val="FF0000"/>
                    </a:solidFill>
                    <a:latin typeface="Calibri"/>
                    <a:ea typeface="Calibri"/>
                    <a:cs typeface="Calibri"/>
                  </a:rPr>
                  <a:pPr algn="ctr"/>
                  <a:t> </a:t>
                </a:fld>
                <a:endParaRPr lang="es-ES" sz="1400" b="1">
                  <a:solidFill>
                    <a:srgbClr val="FF0000"/>
                  </a:solidFill>
                </a:endParaRPr>
              </a:p>
            </xdr:txBody>
          </xdr:sp>
          <xdr:sp macro="" textlink="OCULTOS!$N$11">
            <xdr:nvSpPr>
              <xdr:cNvPr id="181" name="Ruedas B">
                <a:extLst>
                  <a:ext uri="{FF2B5EF4-FFF2-40B4-BE49-F238E27FC236}">
                    <a16:creationId xmlns:a16="http://schemas.microsoft.com/office/drawing/2014/main" id="{4864C5A2-3782-9BC4-D61D-A2223399B7E6}"/>
                  </a:ext>
                </a:extLst>
              </xdr:cNvPr>
              <xdr:cNvSpPr txBox="1"/>
            </xdr:nvSpPr>
            <xdr:spPr>
              <a:xfrm>
                <a:off x="2753712" y="3386028"/>
                <a:ext cx="467341" cy="271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3D8DE3D-D449-40DA-8A0D-6F1ECC2F93AE}" type="TxLink">
                  <a:rPr lang="en-US" sz="1100" b="1" i="0" u="none" strike="noStrike">
                    <a:solidFill>
                      <a:srgbClr val="FF0000"/>
                    </a:solidFill>
                    <a:latin typeface="Calibri"/>
                    <a:ea typeface="Calibri"/>
                    <a:cs typeface="Calibri"/>
                  </a:rPr>
                  <a:pPr algn="ctr"/>
                  <a:t>●●</a:t>
                </a:fld>
                <a:endParaRPr lang="es-ES" sz="1100" b="1">
                  <a:solidFill>
                    <a:srgbClr val="FF0000"/>
                  </a:solidFill>
                </a:endParaRPr>
              </a:p>
            </xdr:txBody>
          </xdr:sp>
          <xdr:sp macro="" textlink="OCULTOS!$N$12">
            <xdr:nvSpPr>
              <xdr:cNvPr id="182" name="Ruedas C">
                <a:extLst>
                  <a:ext uri="{FF2B5EF4-FFF2-40B4-BE49-F238E27FC236}">
                    <a16:creationId xmlns:a16="http://schemas.microsoft.com/office/drawing/2014/main" id="{8BCE3022-5069-7E8E-E879-2D3CF9A3B3F2}"/>
                  </a:ext>
                </a:extLst>
              </xdr:cNvPr>
              <xdr:cNvSpPr txBox="1"/>
            </xdr:nvSpPr>
            <xdr:spPr>
              <a:xfrm>
                <a:off x="4311061" y="3399512"/>
                <a:ext cx="467341" cy="2712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EC114B6-BC00-43ED-8C4A-A1D8AE46B128}" type="TxLink">
                  <a:rPr lang="en-US" sz="1100" b="1" i="0" u="none" strike="noStrike">
                    <a:solidFill>
                      <a:srgbClr val="FF0000"/>
                    </a:solidFill>
                    <a:latin typeface="Calibri"/>
                    <a:ea typeface="Calibri"/>
                    <a:cs typeface="Calibri"/>
                  </a:rPr>
                  <a:pPr algn="ctr"/>
                  <a:t> </a:t>
                </a:fld>
                <a:endParaRPr lang="es-ES" sz="3600" b="1">
                  <a:solidFill>
                    <a:srgbClr val="FF0000"/>
                  </a:solidFill>
                </a:endParaRPr>
              </a:p>
            </xdr:txBody>
          </xdr:sp>
          <xdr:sp macro="" textlink="OCULTOS!$N$13">
            <xdr:nvSpPr>
              <xdr:cNvPr id="183" name="Ruedas D">
                <a:extLst>
                  <a:ext uri="{FF2B5EF4-FFF2-40B4-BE49-F238E27FC236}">
                    <a16:creationId xmlns:a16="http://schemas.microsoft.com/office/drawing/2014/main" id="{7894B45C-7E56-5B47-73B6-21D08BE561E4}"/>
                  </a:ext>
                </a:extLst>
              </xdr:cNvPr>
              <xdr:cNvSpPr txBox="1"/>
            </xdr:nvSpPr>
            <xdr:spPr>
              <a:xfrm rot="10800000">
                <a:off x="1964811" y="2109525"/>
                <a:ext cx="467341" cy="2712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6D3F13A-301B-42A8-AEEB-8078FD6CE507}" type="TxLink">
                  <a:rPr lang="en-US" sz="1100" b="0" i="0" u="none" strike="noStrike">
                    <a:solidFill>
                      <a:srgbClr val="FF0000"/>
                    </a:solidFill>
                    <a:latin typeface="Calibri"/>
                    <a:ea typeface="Calibri"/>
                    <a:cs typeface="Calibri"/>
                  </a:rPr>
                  <a:pPr algn="ctr"/>
                  <a:t> </a:t>
                </a:fld>
                <a:endParaRPr lang="es-ES" sz="3600" b="1">
                  <a:solidFill>
                    <a:srgbClr val="FF0000"/>
                  </a:solidFill>
                </a:endParaRPr>
              </a:p>
            </xdr:txBody>
          </xdr:sp>
          <xdr:sp macro="" textlink="OCULTOS!$N$14">
            <xdr:nvSpPr>
              <xdr:cNvPr id="184" name="Ruedas E">
                <a:extLst>
                  <a:ext uri="{FF2B5EF4-FFF2-40B4-BE49-F238E27FC236}">
                    <a16:creationId xmlns:a16="http://schemas.microsoft.com/office/drawing/2014/main" id="{BD85F051-2F71-6653-88D7-31ED92299AFE}"/>
                  </a:ext>
                </a:extLst>
              </xdr:cNvPr>
              <xdr:cNvSpPr txBox="1"/>
            </xdr:nvSpPr>
            <xdr:spPr>
              <a:xfrm rot="10800000">
                <a:off x="3527690" y="2125090"/>
                <a:ext cx="467341" cy="2712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ABDC7A4-8EFA-44F7-8855-E021B1106C4A}" type="TxLink">
                  <a:rPr lang="en-US" sz="1100" b="0" i="0" u="none" strike="noStrike">
                    <a:solidFill>
                      <a:srgbClr val="FF0000"/>
                    </a:solidFill>
                    <a:latin typeface="Calibri"/>
                    <a:ea typeface="Calibri"/>
                    <a:cs typeface="Calibri"/>
                  </a:rPr>
                  <a:pPr algn="ctr"/>
                  <a:t> </a:t>
                </a:fld>
                <a:endParaRPr lang="es-ES" sz="3600" b="1">
                  <a:solidFill>
                    <a:srgbClr val="FF0000"/>
                  </a:solidFill>
                </a:endParaRPr>
              </a:p>
            </xdr:txBody>
          </xdr:sp>
        </xdr:grpSp>
      </xdr:grpSp>
      <xdr:grpSp>
        <xdr:nvGrpSpPr>
          <xdr:cNvPr id="131" name="COTAS">
            <a:extLst>
              <a:ext uri="{FF2B5EF4-FFF2-40B4-BE49-F238E27FC236}">
                <a16:creationId xmlns:a16="http://schemas.microsoft.com/office/drawing/2014/main" id="{A1760CB0-047C-6254-2892-E74B7EBA8FD1}"/>
              </a:ext>
            </a:extLst>
          </xdr:cNvPr>
          <xdr:cNvGrpSpPr/>
        </xdr:nvGrpSpPr>
        <xdr:grpSpPr>
          <a:xfrm>
            <a:off x="491682" y="2960852"/>
            <a:ext cx="4137046" cy="2156408"/>
            <a:chOff x="447182" y="1899055"/>
            <a:chExt cx="4126545" cy="2155303"/>
          </a:xfrm>
        </xdr:grpSpPr>
        <xdr:grpSp>
          <xdr:nvGrpSpPr>
            <xdr:cNvPr id="137" name="Flechas_COTAS">
              <a:extLst>
                <a:ext uri="{FF2B5EF4-FFF2-40B4-BE49-F238E27FC236}">
                  <a16:creationId xmlns:a16="http://schemas.microsoft.com/office/drawing/2014/main" id="{C019862B-4A84-A77A-0582-7A535CE09FB3}"/>
                </a:ext>
              </a:extLst>
            </xdr:cNvPr>
            <xdr:cNvGrpSpPr/>
          </xdr:nvGrpSpPr>
          <xdr:grpSpPr>
            <a:xfrm>
              <a:off x="447182" y="2025256"/>
              <a:ext cx="4126545" cy="2029102"/>
              <a:chOff x="697727" y="1729859"/>
              <a:chExt cx="4162416" cy="2075808"/>
            </a:xfrm>
          </xdr:grpSpPr>
          <xdr:cxnSp macro="">
            <xdr:nvCxnSpPr>
              <xdr:cNvPr id="152" name="Flecha AB">
                <a:extLst>
                  <a:ext uri="{FF2B5EF4-FFF2-40B4-BE49-F238E27FC236}">
                    <a16:creationId xmlns:a16="http://schemas.microsoft.com/office/drawing/2014/main" id="{43A17D0B-3831-09B8-8AD0-40ECE298CA92}"/>
                  </a:ext>
                </a:extLst>
              </xdr:cNvPr>
              <xdr:cNvCxnSpPr/>
            </xdr:nvCxnSpPr>
            <xdr:spPr>
              <a:xfrm rot="5400000">
                <a:off x="2483865" y="2958295"/>
                <a:ext cx="982" cy="1555801"/>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53" name="Flecha BC">
                <a:extLst>
                  <a:ext uri="{FF2B5EF4-FFF2-40B4-BE49-F238E27FC236}">
                    <a16:creationId xmlns:a16="http://schemas.microsoft.com/office/drawing/2014/main" id="{174DC4F3-18CD-BA77-6147-2F744722D3CB}"/>
                  </a:ext>
                </a:extLst>
              </xdr:cNvPr>
              <xdr:cNvCxnSpPr/>
            </xdr:nvCxnSpPr>
            <xdr:spPr>
              <a:xfrm rot="5400000">
                <a:off x="4067385" y="2957756"/>
                <a:ext cx="982" cy="1555801"/>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54" name="Flecha DE">
                <a:extLst>
                  <a:ext uri="{FF2B5EF4-FFF2-40B4-BE49-F238E27FC236}">
                    <a16:creationId xmlns:a16="http://schemas.microsoft.com/office/drawing/2014/main" id="{D8492A4A-A9E6-9C9B-1F10-4AD6F3F344B3}"/>
                  </a:ext>
                </a:extLst>
              </xdr:cNvPr>
              <xdr:cNvCxnSpPr/>
            </xdr:nvCxnSpPr>
            <xdr:spPr>
              <a:xfrm rot="5400000">
                <a:off x="3253441" y="1033951"/>
                <a:ext cx="987" cy="1553530"/>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55" name="Flecha AD Vert">
                <a:extLst>
                  <a:ext uri="{FF2B5EF4-FFF2-40B4-BE49-F238E27FC236}">
                    <a16:creationId xmlns:a16="http://schemas.microsoft.com/office/drawing/2014/main" id="{14C4E1DA-E653-E84A-BF5E-70B98CE4E5FA}"/>
                  </a:ext>
                </a:extLst>
              </xdr:cNvPr>
              <xdr:cNvCxnSpPr/>
            </xdr:nvCxnSpPr>
            <xdr:spPr>
              <a:xfrm>
                <a:off x="947754" y="2198637"/>
                <a:ext cx="998" cy="965435"/>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67" name="Conector DA">
                <a:extLst>
                  <a:ext uri="{FF2B5EF4-FFF2-40B4-BE49-F238E27FC236}">
                    <a16:creationId xmlns:a16="http://schemas.microsoft.com/office/drawing/2014/main" id="{E3F6542D-063C-DD93-109D-369269FD1F5C}"/>
                  </a:ext>
                </a:extLst>
              </xdr:cNvPr>
              <xdr:cNvCxnSpPr/>
            </xdr:nvCxnSpPr>
            <xdr:spPr>
              <a:xfrm>
                <a:off x="760050" y="2206277"/>
                <a:ext cx="516677" cy="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6" name="Conector AD">
                <a:extLst>
                  <a:ext uri="{FF2B5EF4-FFF2-40B4-BE49-F238E27FC236}">
                    <a16:creationId xmlns:a16="http://schemas.microsoft.com/office/drawing/2014/main" id="{7476EDDF-6104-C3EF-A033-C5ABC9BA6E6E}"/>
                  </a:ext>
                </a:extLst>
              </xdr:cNvPr>
              <xdr:cNvCxnSpPr/>
            </xdr:nvCxnSpPr>
            <xdr:spPr>
              <a:xfrm>
                <a:off x="697727" y="3163544"/>
                <a:ext cx="379978" cy="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2" name="Flecha EC Horiz">
                <a:extLst>
                  <a:ext uri="{FF2B5EF4-FFF2-40B4-BE49-F238E27FC236}">
                    <a16:creationId xmlns:a16="http://schemas.microsoft.com/office/drawing/2014/main" id="{37CA225C-926D-A0A5-01E8-9F73A4E9013D}"/>
                  </a:ext>
                </a:extLst>
              </xdr:cNvPr>
              <xdr:cNvCxnSpPr/>
            </xdr:nvCxnSpPr>
            <xdr:spPr>
              <a:xfrm rot="5400000" flipV="1">
                <a:off x="4430129" y="1423988"/>
                <a:ext cx="834" cy="773722"/>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cxnSp macro="">
            <xdr:nvCxnSpPr>
              <xdr:cNvPr id="163" name="Conector recto de flecha 162">
                <a:extLst>
                  <a:ext uri="{FF2B5EF4-FFF2-40B4-BE49-F238E27FC236}">
                    <a16:creationId xmlns:a16="http://schemas.microsoft.com/office/drawing/2014/main" id="{536BE7EC-BBA1-DA54-CAB0-0381C0505DA5}"/>
                  </a:ext>
                </a:extLst>
              </xdr:cNvPr>
              <xdr:cNvCxnSpPr/>
            </xdr:nvCxnSpPr>
            <xdr:spPr>
              <a:xfrm>
                <a:off x="1701468" y="3538317"/>
                <a:ext cx="1" cy="24717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4" name="Conector recto de flecha 163">
                <a:extLst>
                  <a:ext uri="{FF2B5EF4-FFF2-40B4-BE49-F238E27FC236}">
                    <a16:creationId xmlns:a16="http://schemas.microsoft.com/office/drawing/2014/main" id="{F45B31C7-857D-B520-D82A-10DCAF36DA1A}"/>
                  </a:ext>
                </a:extLst>
              </xdr:cNvPr>
              <xdr:cNvCxnSpPr/>
            </xdr:nvCxnSpPr>
            <xdr:spPr>
              <a:xfrm>
                <a:off x="3272981" y="3546806"/>
                <a:ext cx="1" cy="24717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5" name="Conector recto de flecha 164">
                <a:extLst>
                  <a:ext uri="{FF2B5EF4-FFF2-40B4-BE49-F238E27FC236}">
                    <a16:creationId xmlns:a16="http://schemas.microsoft.com/office/drawing/2014/main" id="{0A21B4AF-A4A0-1486-0E73-E3ADCEB7E2DE}"/>
                  </a:ext>
                </a:extLst>
              </xdr:cNvPr>
              <xdr:cNvCxnSpPr/>
            </xdr:nvCxnSpPr>
            <xdr:spPr>
              <a:xfrm>
                <a:off x="4860142" y="3558497"/>
                <a:ext cx="1" cy="247170"/>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8" name="Conector recto de flecha 167">
                <a:extLst>
                  <a:ext uri="{FF2B5EF4-FFF2-40B4-BE49-F238E27FC236}">
                    <a16:creationId xmlns:a16="http://schemas.microsoft.com/office/drawing/2014/main" id="{88B346C2-4204-FCB6-4AE4-010C9A0ED115}"/>
                  </a:ext>
                </a:extLst>
              </xdr:cNvPr>
              <xdr:cNvCxnSpPr/>
            </xdr:nvCxnSpPr>
            <xdr:spPr>
              <a:xfrm>
                <a:off x="2470288" y="1763017"/>
                <a:ext cx="296" cy="213374"/>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69" name="Conector recto de flecha 168">
                <a:extLst>
                  <a:ext uri="{FF2B5EF4-FFF2-40B4-BE49-F238E27FC236}">
                    <a16:creationId xmlns:a16="http://schemas.microsoft.com/office/drawing/2014/main" id="{6DEECC19-AD41-9639-CA2C-41A17B3F66F2}"/>
                  </a:ext>
                </a:extLst>
              </xdr:cNvPr>
              <xdr:cNvCxnSpPr/>
            </xdr:nvCxnSpPr>
            <xdr:spPr>
              <a:xfrm>
                <a:off x="4041408" y="1743362"/>
                <a:ext cx="1" cy="248487"/>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70" name="Conector recto de flecha 169">
                <a:extLst>
                  <a:ext uri="{FF2B5EF4-FFF2-40B4-BE49-F238E27FC236}">
                    <a16:creationId xmlns:a16="http://schemas.microsoft.com/office/drawing/2014/main" id="{338432A9-9A09-3EB5-5199-C9D8A2183195}"/>
                  </a:ext>
                </a:extLst>
              </xdr:cNvPr>
              <xdr:cNvCxnSpPr/>
            </xdr:nvCxnSpPr>
            <xdr:spPr>
              <a:xfrm flipH="1">
                <a:off x="4831942" y="1729859"/>
                <a:ext cx="741" cy="1120409"/>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grpSp>
          <xdr:nvGrpSpPr>
            <xdr:cNvPr id="138" name="Datos_Long">
              <a:extLst>
                <a:ext uri="{FF2B5EF4-FFF2-40B4-BE49-F238E27FC236}">
                  <a16:creationId xmlns:a16="http://schemas.microsoft.com/office/drawing/2014/main" id="{F3185886-D5E7-B597-8129-AC11DE98A422}"/>
                </a:ext>
              </a:extLst>
            </xdr:cNvPr>
            <xdr:cNvGrpSpPr/>
          </xdr:nvGrpSpPr>
          <xdr:grpSpPr>
            <a:xfrm>
              <a:off x="464392" y="1899055"/>
              <a:ext cx="4071511" cy="2095312"/>
              <a:chOff x="717034" y="1597255"/>
              <a:chExt cx="4055496" cy="2124196"/>
            </a:xfrm>
          </xdr:grpSpPr>
          <xdr:sp macro="" textlink="L_AB_Ver">
            <xdr:nvSpPr>
              <xdr:cNvPr id="140" name="L_AB">
                <a:extLst>
                  <a:ext uri="{FF2B5EF4-FFF2-40B4-BE49-F238E27FC236}">
                    <a16:creationId xmlns:a16="http://schemas.microsoft.com/office/drawing/2014/main" id="{72C9DF44-BFFB-DA8F-368C-25AB09BADD0C}"/>
                  </a:ext>
                </a:extLst>
              </xdr:cNvPr>
              <xdr:cNvSpPr txBox="1"/>
            </xdr:nvSpPr>
            <xdr:spPr>
              <a:xfrm>
                <a:off x="1717208" y="3503891"/>
                <a:ext cx="1525460" cy="21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BBE240AD-E729-4169-A5EF-CAA4DA6E8414}" type="TxLink">
                  <a:rPr lang="en-US" sz="1100" b="0" i="0" u="none" strike="noStrike">
                    <a:solidFill>
                      <a:srgbClr val="000000"/>
                    </a:solidFill>
                    <a:latin typeface="Calibri"/>
                    <a:ea typeface="Calibri"/>
                    <a:cs typeface="Calibri"/>
                  </a:rPr>
                  <a:pPr algn="ctr"/>
                  <a:t>4,00 m</a:t>
                </a:fld>
                <a:endParaRPr lang="es-ES" sz="800">
                  <a:solidFill>
                    <a:srgbClr val="FF0000"/>
                  </a:solidFill>
                </a:endParaRPr>
              </a:p>
            </xdr:txBody>
          </xdr:sp>
          <xdr:sp macro="" textlink="L_AB_Ver">
            <xdr:nvSpPr>
              <xdr:cNvPr id="141" name="L_BC">
                <a:extLst>
                  <a:ext uri="{FF2B5EF4-FFF2-40B4-BE49-F238E27FC236}">
                    <a16:creationId xmlns:a16="http://schemas.microsoft.com/office/drawing/2014/main" id="{C69BD191-368C-1D08-78B7-2A10E45FEA87}"/>
                  </a:ext>
                </a:extLst>
              </xdr:cNvPr>
              <xdr:cNvSpPr txBox="1"/>
            </xdr:nvSpPr>
            <xdr:spPr>
              <a:xfrm>
                <a:off x="3247070" y="3502410"/>
                <a:ext cx="1525460" cy="21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3304C773-1906-41F0-B32D-61A3714D676D}" type="TxLink">
                  <a:rPr lang="en-US" sz="1100" b="0" i="0" u="none" strike="noStrike">
                    <a:solidFill>
                      <a:srgbClr val="000000"/>
                    </a:solidFill>
                    <a:latin typeface="Calibri"/>
                    <a:ea typeface="Calibri"/>
                    <a:cs typeface="Calibri"/>
                  </a:rPr>
                  <a:pPr algn="ctr"/>
                  <a:t>4,00 m</a:t>
                </a:fld>
                <a:endParaRPr lang="es-ES" sz="800">
                  <a:solidFill>
                    <a:srgbClr val="FF0000"/>
                  </a:solidFill>
                </a:endParaRPr>
              </a:p>
            </xdr:txBody>
          </xdr:sp>
          <xdr:sp macro="" textlink="L_DE_Ver">
            <xdr:nvSpPr>
              <xdr:cNvPr id="142" name="L_DE">
                <a:extLst>
                  <a:ext uri="{FF2B5EF4-FFF2-40B4-BE49-F238E27FC236}">
                    <a16:creationId xmlns:a16="http://schemas.microsoft.com/office/drawing/2014/main" id="{9015F9A8-9A3E-B67A-1BA8-C695BEBB472C}"/>
                  </a:ext>
                </a:extLst>
              </xdr:cNvPr>
              <xdr:cNvSpPr txBox="1"/>
            </xdr:nvSpPr>
            <xdr:spPr>
              <a:xfrm>
                <a:off x="2473439" y="1597255"/>
                <a:ext cx="1525460" cy="20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6D91F9A6-F8EC-4015-87FF-3F9A8B66EC4A}" type="TxLink">
                  <a:rPr lang="en-US" sz="1100" b="0" i="0" u="none" strike="noStrike">
                    <a:solidFill>
                      <a:srgbClr val="000000"/>
                    </a:solidFill>
                    <a:latin typeface="Calibri"/>
                    <a:ea typeface="Calibri"/>
                    <a:cs typeface="Calibri"/>
                  </a:rPr>
                  <a:pPr algn="ctr"/>
                  <a:t>4,00 m</a:t>
                </a:fld>
                <a:endParaRPr lang="es-ES" sz="800">
                  <a:solidFill>
                    <a:srgbClr val="FF0000"/>
                  </a:solidFill>
                </a:endParaRPr>
              </a:p>
            </xdr:txBody>
          </xdr:sp>
          <xdr:sp macro="" textlink="L_AB_2">
            <xdr:nvSpPr>
              <xdr:cNvPr id="143" name="L_AB_2">
                <a:extLst>
                  <a:ext uri="{FF2B5EF4-FFF2-40B4-BE49-F238E27FC236}">
                    <a16:creationId xmlns:a16="http://schemas.microsoft.com/office/drawing/2014/main" id="{DCBF8FC5-7AC6-2CFE-8684-D5B2C48A4A62}"/>
                  </a:ext>
                </a:extLst>
              </xdr:cNvPr>
              <xdr:cNvSpPr txBox="1"/>
            </xdr:nvSpPr>
            <xdr:spPr>
              <a:xfrm>
                <a:off x="4008455" y="1601357"/>
                <a:ext cx="742547" cy="2065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F94B9974-5167-45E3-8335-5E62A722E32F}" type="TxLink">
                  <a:rPr lang="en-US" sz="1100" b="0" i="0" u="none" strike="noStrike">
                    <a:solidFill>
                      <a:srgbClr val="000000"/>
                    </a:solidFill>
                    <a:latin typeface="Calibri"/>
                    <a:ea typeface="Calibri"/>
                    <a:cs typeface="Calibri"/>
                  </a:rPr>
                  <a:pPr algn="ctr"/>
                  <a:t>2,00 m</a:t>
                </a:fld>
                <a:endParaRPr lang="es-ES" sz="800">
                  <a:solidFill>
                    <a:srgbClr val="FF0000"/>
                  </a:solidFill>
                </a:endParaRPr>
              </a:p>
            </xdr:txBody>
          </xdr:sp>
          <xdr:sp macro="" textlink="Altura_Ver">
            <xdr:nvSpPr>
              <xdr:cNvPr id="151" name="Altura">
                <a:extLst>
                  <a:ext uri="{FF2B5EF4-FFF2-40B4-BE49-F238E27FC236}">
                    <a16:creationId xmlns:a16="http://schemas.microsoft.com/office/drawing/2014/main" id="{B25B9063-29A5-6311-3B8A-51E6E19BCE87}"/>
                  </a:ext>
                </a:extLst>
              </xdr:cNvPr>
              <xdr:cNvSpPr txBox="1"/>
            </xdr:nvSpPr>
            <xdr:spPr>
              <a:xfrm rot="16200000">
                <a:off x="349567" y="2557757"/>
                <a:ext cx="952494" cy="2175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173E8829-C22A-4448-89AF-8397632184FD}" type="TxLink">
                  <a:rPr lang="en-US" sz="1100" b="0" i="0" u="none" strike="noStrike">
                    <a:solidFill>
                      <a:srgbClr val="000000"/>
                    </a:solidFill>
                    <a:latin typeface="Calibri"/>
                    <a:ea typeface="Calibri"/>
                    <a:cs typeface="Calibri"/>
                  </a:rPr>
                  <a:pPr algn="ctr"/>
                  <a:t>1,15 m</a:t>
                </a:fld>
                <a:endParaRPr lang="es-ES" sz="800">
                  <a:solidFill>
                    <a:srgbClr val="FF0000"/>
                  </a:solidFill>
                </a:endParaRPr>
              </a:p>
            </xdr:txBody>
          </xdr:sp>
        </xdr:grpSp>
        <xdr:sp macro="" textlink="alfa_Ver">
          <xdr:nvSpPr>
            <xdr:cNvPr id="139" name="Arco">
              <a:extLst>
                <a:ext uri="{FF2B5EF4-FFF2-40B4-BE49-F238E27FC236}">
                  <a16:creationId xmlns:a16="http://schemas.microsoft.com/office/drawing/2014/main" id="{A394786E-033F-2822-C181-B87AF0100B65}"/>
                </a:ext>
              </a:extLst>
            </xdr:cNvPr>
            <xdr:cNvSpPr/>
          </xdr:nvSpPr>
          <xdr:spPr>
            <a:xfrm rot="1132298">
              <a:off x="1349495" y="3137017"/>
              <a:ext cx="460528" cy="410272"/>
            </a:xfrm>
            <a:prstGeom prst="arc">
              <a:avLst>
                <a:gd name="adj1" fmla="val 16289148"/>
                <a:gd name="adj2" fmla="val 114033"/>
              </a:avLst>
            </a:prstGeom>
            <a:ln w="12700">
              <a:headEnd type="triangle" w="sm" len="sm"/>
              <a:tailEnd type="triangle" w="sm" len="sm"/>
            </a:ln>
          </xdr:spPr>
          <xdr:style>
            <a:lnRef idx="1">
              <a:schemeClr val="accent1"/>
            </a:lnRef>
            <a:fillRef idx="0">
              <a:schemeClr val="accent1"/>
            </a:fillRef>
            <a:effectRef idx="0">
              <a:schemeClr val="accent1"/>
            </a:effectRef>
            <a:fontRef idx="minor">
              <a:schemeClr val="tx1"/>
            </a:fontRef>
          </xdr:style>
          <xdr:txBody>
            <a:bodyPr vertOverflow="clip" horzOverflow="clip" lIns="0" tIns="0" rIns="0" bIns="0" rtlCol="0" anchor="ctr"/>
            <a:lstStyle/>
            <a:p>
              <a:pPr algn="ctr"/>
              <a:fld id="{6FE10893-6B0C-4F17-AA67-A7B2DA62F7B7}" type="TxLink">
                <a:rPr lang="en-US" sz="800" b="0" i="0" u="none" strike="noStrike">
                  <a:solidFill>
                    <a:srgbClr val="000000"/>
                  </a:solidFill>
                  <a:latin typeface="Calibri"/>
                  <a:ea typeface="Calibri"/>
                  <a:cs typeface="Calibri"/>
                </a:rPr>
                <a:pPr algn="ctr"/>
                <a:t>30°</a:t>
              </a:fld>
              <a:endParaRPr lang="es-ES" sz="100" b="0"/>
            </a:p>
          </xdr:txBody>
        </xdr:sp>
      </xdr:grpSp>
      <xdr:grpSp>
        <xdr:nvGrpSpPr>
          <xdr:cNvPr id="132" name="COTA DIAGONAL" hidden="1">
            <a:extLst>
              <a:ext uri="{FF2B5EF4-FFF2-40B4-BE49-F238E27FC236}">
                <a16:creationId xmlns:a16="http://schemas.microsoft.com/office/drawing/2014/main" id="{000E249F-54BC-6359-9C0E-FFDAED6E2111}"/>
              </a:ext>
            </a:extLst>
          </xdr:cNvPr>
          <xdr:cNvGrpSpPr/>
        </xdr:nvGrpSpPr>
        <xdr:grpSpPr>
          <a:xfrm>
            <a:off x="878310" y="2966972"/>
            <a:ext cx="1044288" cy="1363498"/>
            <a:chOff x="1226679" y="3244784"/>
            <a:chExt cx="1044288" cy="1363498"/>
          </a:xfrm>
        </xdr:grpSpPr>
        <xdr:cxnSp macro="">
          <xdr:nvCxnSpPr>
            <xdr:cNvPr id="133" name="Flecha AD">
              <a:extLst>
                <a:ext uri="{FF2B5EF4-FFF2-40B4-BE49-F238E27FC236}">
                  <a16:creationId xmlns:a16="http://schemas.microsoft.com/office/drawing/2014/main" id="{175E65F7-281C-A4D9-46B2-89DB96AD21FE}"/>
                </a:ext>
              </a:extLst>
            </xdr:cNvPr>
            <xdr:cNvCxnSpPr/>
          </xdr:nvCxnSpPr>
          <xdr:spPr>
            <a:xfrm rot="2497614">
              <a:off x="1723834" y="3324679"/>
              <a:ext cx="990" cy="1200355"/>
            </a:xfrm>
            <a:prstGeom prst="straightConnector1">
              <a:avLst/>
            </a:prstGeom>
            <a:ln w="12700">
              <a:headEnd type="triangle" w="med" len="med"/>
              <a:tailEnd type="triangle" w="med" len="med"/>
            </a:ln>
          </xdr:spPr>
          <xdr:style>
            <a:lnRef idx="1">
              <a:schemeClr val="accent1"/>
            </a:lnRef>
            <a:fillRef idx="0">
              <a:schemeClr val="accent1"/>
            </a:fillRef>
            <a:effectRef idx="0">
              <a:schemeClr val="accent1"/>
            </a:effectRef>
            <a:fontRef idx="minor">
              <a:schemeClr val="tx1"/>
            </a:fontRef>
          </xdr:style>
        </xdr:cxnSp>
        <xdr:sp macro="" textlink="L_AD_Ver">
          <xdr:nvSpPr>
            <xdr:cNvPr id="134" name="L_AD">
              <a:extLst>
                <a:ext uri="{FF2B5EF4-FFF2-40B4-BE49-F238E27FC236}">
                  <a16:creationId xmlns:a16="http://schemas.microsoft.com/office/drawing/2014/main" id="{D2E48593-58CB-CE9A-07F2-1203103CD458}"/>
                </a:ext>
              </a:extLst>
            </xdr:cNvPr>
            <xdr:cNvSpPr txBox="1"/>
          </xdr:nvSpPr>
          <xdr:spPr>
            <a:xfrm rot="18697614">
              <a:off x="1036883" y="3733001"/>
              <a:ext cx="1195050" cy="2186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noAutofit/>
            </a:bodyPr>
            <a:lstStyle/>
            <a:p>
              <a:pPr algn="ctr"/>
              <a:fld id="{8584D7E7-79E3-4B1E-8614-BDA0428B3ECF}" type="TxLink">
                <a:rPr lang="en-US" sz="1100" b="0" i="0" u="none" strike="noStrike">
                  <a:solidFill>
                    <a:srgbClr val="000000"/>
                  </a:solidFill>
                  <a:latin typeface="Calibri"/>
                  <a:ea typeface="Calibri"/>
                  <a:cs typeface="Calibri"/>
                </a:rPr>
                <a:pPr algn="ctr"/>
                <a:t>2,31 m</a:t>
              </a:fld>
              <a:endParaRPr lang="es-ES" sz="800">
                <a:solidFill>
                  <a:srgbClr val="FF0000"/>
                </a:solidFill>
              </a:endParaRPr>
            </a:p>
          </xdr:txBody>
        </xdr:sp>
        <xdr:cxnSp macro="">
          <xdr:nvCxnSpPr>
            <xdr:cNvPr id="135" name="Conector recto de flecha 134">
              <a:extLst>
                <a:ext uri="{FF2B5EF4-FFF2-40B4-BE49-F238E27FC236}">
                  <a16:creationId xmlns:a16="http://schemas.microsoft.com/office/drawing/2014/main" id="{44F70465-8801-B2C3-F35F-F712F702EE79}"/>
                </a:ext>
              </a:extLst>
            </xdr:cNvPr>
            <xdr:cNvCxnSpPr>
              <a:stCxn id="183" idx="3"/>
            </xdr:cNvCxnSpPr>
          </xdr:nvCxnSpPr>
          <xdr:spPr>
            <a:xfrm>
              <a:off x="2043725" y="3415765"/>
              <a:ext cx="227242" cy="180921"/>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xnSp macro="">
          <xdr:nvCxnSpPr>
            <xdr:cNvPr id="136" name="Conector recto de flecha 135">
              <a:extLst>
                <a:ext uri="{FF2B5EF4-FFF2-40B4-BE49-F238E27FC236}">
                  <a16:creationId xmlns:a16="http://schemas.microsoft.com/office/drawing/2014/main" id="{9CAB9243-0168-95F9-6B6F-015B4CEB695E}"/>
                </a:ext>
              </a:extLst>
            </xdr:cNvPr>
            <xdr:cNvCxnSpPr/>
          </xdr:nvCxnSpPr>
          <xdr:spPr>
            <a:xfrm>
              <a:off x="1226679" y="4256417"/>
              <a:ext cx="422558" cy="351865"/>
            </a:xfrm>
            <a:prstGeom prst="straightConnector1">
              <a:avLst/>
            </a:prstGeom>
            <a:ln w="12700">
              <a:prstDash val="dash"/>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grpSp>
    </xdr:grpSp>
    <xdr:clientData/>
  </xdr:twoCellAnchor>
  <xdr:twoCellAnchor editAs="oneCell">
    <xdr:from>
      <xdr:col>11</xdr:col>
      <xdr:colOff>295878</xdr:colOff>
      <xdr:row>0</xdr:row>
      <xdr:rowOff>0</xdr:rowOff>
    </xdr:from>
    <xdr:to>
      <xdr:col>12</xdr:col>
      <xdr:colOff>383350</xdr:colOff>
      <xdr:row>0</xdr:row>
      <xdr:rowOff>169367</xdr:rowOff>
    </xdr:to>
    <xdr:pic>
      <xdr:nvPicPr>
        <xdr:cNvPr id="18" name="CopyRight" descr="by-nc-nd-eu_petit">
          <a:extLst>
            <a:ext uri="{FF2B5EF4-FFF2-40B4-BE49-F238E27FC236}">
              <a16:creationId xmlns:a16="http://schemas.microsoft.com/office/drawing/2014/main" id="{F0AF9F2D-3F63-F143-E7E2-F23E3C85212A}"/>
            </a:ext>
          </a:extLst>
        </xdr:cNvPr>
        <xdr:cNvPicPr>
          <a:picLocks noChangeAspect="1"/>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a:stretch>
          <a:fillRect/>
        </a:stretch>
      </xdr:blipFill>
      <xdr:spPr bwMode="auto">
        <a:xfrm>
          <a:off x="4743154" y="0"/>
          <a:ext cx="483494" cy="169367"/>
        </a:xfrm>
        <a:prstGeom prst="rect">
          <a:avLst/>
        </a:prstGeom>
        <a:noFill/>
        <a:ln>
          <a:noFill/>
        </a:ln>
      </xdr:spPr>
    </xdr:pic>
    <xdr:clientData fPrintsWithSheet="0"/>
  </xdr:twoCellAnchor>
  <xdr:twoCellAnchor>
    <xdr:from>
      <xdr:col>14</xdr:col>
      <xdr:colOff>0</xdr:colOff>
      <xdr:row>8</xdr:row>
      <xdr:rowOff>0</xdr:rowOff>
    </xdr:from>
    <xdr:to>
      <xdr:col>14</xdr:col>
      <xdr:colOff>995796</xdr:colOff>
      <xdr:row>8</xdr:row>
      <xdr:rowOff>279013</xdr:rowOff>
    </xdr:to>
    <xdr:pic macro="[0]!Link_Imagen_FTP">
      <xdr:nvPicPr>
        <xdr:cNvPr id="25" name="Enlace IMAGEN">
          <a:extLst>
            <a:ext uri="{FF2B5EF4-FFF2-40B4-BE49-F238E27FC236}">
              <a16:creationId xmlns:a16="http://schemas.microsoft.com/office/drawing/2014/main" id="{2CAC5C9A-CD9D-4F96-BC3E-08E32B66A214}"/>
            </a:ext>
          </a:extLst>
        </xdr:cNvPr>
        <xdr:cNvPicPr>
          <a:picLocks noChangeAspect="1"/>
        </xdr:cNvPicPr>
      </xdr:nvPicPr>
      <xdr:blipFill>
        <a:blip xmlns:r="http://schemas.openxmlformats.org/officeDocument/2006/relationships" r:embed="rId3"/>
        <a:stretch>
          <a:fillRect/>
        </a:stretch>
      </xdr:blipFill>
      <xdr:spPr>
        <a:xfrm>
          <a:off x="5878560" y="2732424"/>
          <a:ext cx="995796" cy="279013"/>
        </a:xfrm>
        <a:prstGeom prst="rect">
          <a:avLst/>
        </a:prstGeom>
      </xdr:spPr>
    </xdr:pic>
    <xdr:clientData fLocksWithSheet="0"/>
  </xdr:twoCellAnchor>
  <xdr:twoCellAnchor>
    <xdr:from>
      <xdr:col>14</xdr:col>
      <xdr:colOff>0</xdr:colOff>
      <xdr:row>9</xdr:row>
      <xdr:rowOff>0</xdr:rowOff>
    </xdr:from>
    <xdr:to>
      <xdr:col>15</xdr:col>
      <xdr:colOff>9621</xdr:colOff>
      <xdr:row>9</xdr:row>
      <xdr:rowOff>239727</xdr:rowOff>
    </xdr:to>
    <xdr:sp macro="[0]!Link_Descripcion_FTP" textlink="">
      <xdr:nvSpPr>
        <xdr:cNvPr id="28" name="Enlace DESCRIPCIÓN">
          <a:extLst>
            <a:ext uri="{FF2B5EF4-FFF2-40B4-BE49-F238E27FC236}">
              <a16:creationId xmlns:a16="http://schemas.microsoft.com/office/drawing/2014/main" id="{980FDA5A-C22E-4876-BAF2-3FA1DD535444}"/>
            </a:ext>
          </a:extLst>
        </xdr:cNvPr>
        <xdr:cNvSpPr/>
      </xdr:nvSpPr>
      <xdr:spPr>
        <a:xfrm>
          <a:off x="5878560" y="3011440"/>
          <a:ext cx="1024660" cy="23972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kern="1200"/>
        </a:p>
      </xdr:txBody>
    </xdr:sp>
    <xdr:clientData/>
  </xdr:twoCellAnchor>
  <xdr:twoCellAnchor>
    <xdr:from>
      <xdr:col>15</xdr:col>
      <xdr:colOff>0</xdr:colOff>
      <xdr:row>8</xdr:row>
      <xdr:rowOff>0</xdr:rowOff>
    </xdr:from>
    <xdr:to>
      <xdr:col>16</xdr:col>
      <xdr:colOff>620569</xdr:colOff>
      <xdr:row>8</xdr:row>
      <xdr:rowOff>259773</xdr:rowOff>
    </xdr:to>
    <xdr:sp macro="[0]!Link_Enunciado_P_1_FTP" textlink="">
      <xdr:nvSpPr>
        <xdr:cNvPr id="26" name="Enlace Enunciado y P1">
          <a:extLst>
            <a:ext uri="{FF2B5EF4-FFF2-40B4-BE49-F238E27FC236}">
              <a16:creationId xmlns:a16="http://schemas.microsoft.com/office/drawing/2014/main" id="{0BFE447B-32A6-47B0-A8BC-2AC0DFE0F7E1}"/>
            </a:ext>
          </a:extLst>
        </xdr:cNvPr>
        <xdr:cNvSpPr/>
      </xdr:nvSpPr>
      <xdr:spPr>
        <a:xfrm>
          <a:off x="6893599" y="2732424"/>
          <a:ext cx="1207462" cy="25977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kern="1200"/>
        </a:p>
      </xdr:txBody>
    </xdr:sp>
    <xdr:clientData fLocksWithSheet="0"/>
  </xdr:twoCellAnchor>
  <xdr:twoCellAnchor>
    <xdr:from>
      <xdr:col>17</xdr:col>
      <xdr:colOff>0</xdr:colOff>
      <xdr:row>8</xdr:row>
      <xdr:rowOff>0</xdr:rowOff>
    </xdr:from>
    <xdr:to>
      <xdr:col>18</xdr:col>
      <xdr:colOff>247265</xdr:colOff>
      <xdr:row>8</xdr:row>
      <xdr:rowOff>254962</xdr:rowOff>
    </xdr:to>
    <xdr:sp macro="[0]!Link_Enunciado_P_2_FTP" textlink="">
      <xdr:nvSpPr>
        <xdr:cNvPr id="27" name="Enlace Enunciado y P1-P2">
          <a:extLst>
            <a:ext uri="{FF2B5EF4-FFF2-40B4-BE49-F238E27FC236}">
              <a16:creationId xmlns:a16="http://schemas.microsoft.com/office/drawing/2014/main" id="{12141E1C-D13C-4FE3-80C2-BC58762FBD3E}"/>
            </a:ext>
          </a:extLst>
        </xdr:cNvPr>
        <xdr:cNvSpPr/>
      </xdr:nvSpPr>
      <xdr:spPr>
        <a:xfrm>
          <a:off x="8134735" y="2732424"/>
          <a:ext cx="1108363" cy="25496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kern="1200"/>
        </a:p>
      </xdr:txBody>
    </xdr:sp>
    <xdr:clientData/>
  </xdr:twoCellAnchor>
  <xdr:twoCellAnchor>
    <xdr:from>
      <xdr:col>15</xdr:col>
      <xdr:colOff>0</xdr:colOff>
      <xdr:row>9</xdr:row>
      <xdr:rowOff>1</xdr:rowOff>
    </xdr:from>
    <xdr:to>
      <xdr:col>16</xdr:col>
      <xdr:colOff>598645</xdr:colOff>
      <xdr:row>9</xdr:row>
      <xdr:rowOff>220487</xdr:rowOff>
    </xdr:to>
    <xdr:sp macro="[0]!Link_Enunciado_P_3_FTP" textlink="">
      <xdr:nvSpPr>
        <xdr:cNvPr id="38" name="Enlace Enunciado y P1-P3">
          <a:extLst>
            <a:ext uri="{FF2B5EF4-FFF2-40B4-BE49-F238E27FC236}">
              <a16:creationId xmlns:a16="http://schemas.microsoft.com/office/drawing/2014/main" id="{3815DA19-41C9-43C1-AE9E-B2413B69046B}"/>
            </a:ext>
          </a:extLst>
        </xdr:cNvPr>
        <xdr:cNvSpPr/>
      </xdr:nvSpPr>
      <xdr:spPr>
        <a:xfrm>
          <a:off x="6874757" y="3003022"/>
          <a:ext cx="1185138" cy="22048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kern="1200"/>
        </a:p>
      </xdr:txBody>
    </xdr:sp>
    <xdr:clientData/>
  </xdr:twoCellAnchor>
  <xdr:twoCellAnchor>
    <xdr:from>
      <xdr:col>17</xdr:col>
      <xdr:colOff>1</xdr:colOff>
      <xdr:row>9</xdr:row>
      <xdr:rowOff>0</xdr:rowOff>
    </xdr:from>
    <xdr:to>
      <xdr:col>18</xdr:col>
      <xdr:colOff>293513</xdr:colOff>
      <xdr:row>9</xdr:row>
      <xdr:rowOff>242711</xdr:rowOff>
    </xdr:to>
    <xdr:sp macro="[0]!Link_Enunciado_P_4_FTP" textlink="">
      <xdr:nvSpPr>
        <xdr:cNvPr id="39" name="Enlace Enunciado y P1-P4">
          <a:extLst>
            <a:ext uri="{FF2B5EF4-FFF2-40B4-BE49-F238E27FC236}">
              <a16:creationId xmlns:a16="http://schemas.microsoft.com/office/drawing/2014/main" id="{CBC9390B-38EA-4209-85F3-3790B3271FC8}"/>
            </a:ext>
          </a:extLst>
        </xdr:cNvPr>
        <xdr:cNvSpPr/>
      </xdr:nvSpPr>
      <xdr:spPr>
        <a:xfrm>
          <a:off x="8156224" y="3014133"/>
          <a:ext cx="1151466" cy="2427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kern="1200"/>
        </a:p>
      </xdr:txBody>
    </xdr:sp>
    <xdr:clientData/>
  </xdr:twoCellAnchor>
  <xdr:twoCellAnchor>
    <xdr:from>
      <xdr:col>13</xdr:col>
      <xdr:colOff>0</xdr:colOff>
      <xdr:row>10</xdr:row>
      <xdr:rowOff>0</xdr:rowOff>
    </xdr:from>
    <xdr:to>
      <xdr:col>14</xdr:col>
      <xdr:colOff>9621</xdr:colOff>
      <xdr:row>10</xdr:row>
      <xdr:rowOff>239727</xdr:rowOff>
    </xdr:to>
    <xdr:sp macro="[0]!Link_Descripcion_FTP" textlink="">
      <xdr:nvSpPr>
        <xdr:cNvPr id="40" name="Enlace DESCRIPCIÓN">
          <a:extLst>
            <a:ext uri="{FF2B5EF4-FFF2-40B4-BE49-F238E27FC236}">
              <a16:creationId xmlns:a16="http://schemas.microsoft.com/office/drawing/2014/main" id="{BDB887C5-8AFE-4629-864D-33A9216734B2}"/>
            </a:ext>
          </a:extLst>
        </xdr:cNvPr>
        <xdr:cNvSpPr/>
      </xdr:nvSpPr>
      <xdr:spPr>
        <a:xfrm>
          <a:off x="5860521" y="3003021"/>
          <a:ext cx="1023857" cy="23972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kern="1200"/>
        </a:p>
      </xdr:txBody>
    </xdr:sp>
    <xdr:clientData/>
  </xdr:twoCellAnchor>
  <xdr:twoCellAnchor>
    <xdr:from>
      <xdr:col>14</xdr:col>
      <xdr:colOff>0</xdr:colOff>
      <xdr:row>10</xdr:row>
      <xdr:rowOff>0</xdr:rowOff>
    </xdr:from>
    <xdr:to>
      <xdr:col>15</xdr:col>
      <xdr:colOff>598645</xdr:colOff>
      <xdr:row>10</xdr:row>
      <xdr:rowOff>244537</xdr:rowOff>
    </xdr:to>
    <xdr:sp macro="[0]!Link_Enunciado_P_3_FTP" textlink="">
      <xdr:nvSpPr>
        <xdr:cNvPr id="41" name="Enlace Enunciado y P1-P3">
          <a:extLst>
            <a:ext uri="{FF2B5EF4-FFF2-40B4-BE49-F238E27FC236}">
              <a16:creationId xmlns:a16="http://schemas.microsoft.com/office/drawing/2014/main" id="{2237F9E1-A94C-485C-BAE9-9B77CA1AB19E}"/>
            </a:ext>
          </a:extLst>
        </xdr:cNvPr>
        <xdr:cNvSpPr/>
      </xdr:nvSpPr>
      <xdr:spPr>
        <a:xfrm>
          <a:off x="6874757" y="3003021"/>
          <a:ext cx="1185138" cy="24453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kern="1200"/>
        </a:p>
      </xdr:txBody>
    </xdr:sp>
    <xdr:clientData/>
  </xdr:twoCellAnchor>
  <xdr:twoCellAnchor>
    <xdr:from>
      <xdr:col>13</xdr:col>
      <xdr:colOff>136700</xdr:colOff>
      <xdr:row>10</xdr:row>
      <xdr:rowOff>1</xdr:rowOff>
    </xdr:from>
    <xdr:to>
      <xdr:col>18</xdr:col>
      <xdr:colOff>304271</xdr:colOff>
      <xdr:row>10</xdr:row>
      <xdr:rowOff>198438</xdr:rowOff>
    </xdr:to>
    <xdr:sp macro="[0]!Link_Enunciado_Pandeo" textlink="">
      <xdr:nvSpPr>
        <xdr:cNvPr id="42" name="Enlace Enunciado y PANDEO">
          <a:extLst>
            <a:ext uri="{FF2B5EF4-FFF2-40B4-BE49-F238E27FC236}">
              <a16:creationId xmlns:a16="http://schemas.microsoft.com/office/drawing/2014/main" id="{5F09EB68-A60C-4C2F-B7C2-B54A203F0618}"/>
            </a:ext>
          </a:extLst>
        </xdr:cNvPr>
        <xdr:cNvSpPr/>
      </xdr:nvSpPr>
      <xdr:spPr>
        <a:xfrm>
          <a:off x="5860520" y="3258785"/>
          <a:ext cx="3417535" cy="19843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kern="12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578415</xdr:colOff>
      <xdr:row>3</xdr:row>
      <xdr:rowOff>8383</xdr:rowOff>
    </xdr:from>
    <xdr:ext cx="637095" cy="344453"/>
    <xdr:sp macro="[0]!Datos_Fijos_Generar" textlink="">
      <xdr:nvSpPr>
        <xdr:cNvPr id="2" name="Macro Generar DATOS">
          <a:extLst>
            <a:ext uri="{FF2B5EF4-FFF2-40B4-BE49-F238E27FC236}">
              <a16:creationId xmlns:a16="http://schemas.microsoft.com/office/drawing/2014/main" id="{02B844C0-6578-A29D-A0A0-6C23993D7727}"/>
            </a:ext>
          </a:extLst>
        </xdr:cNvPr>
        <xdr:cNvSpPr/>
      </xdr:nvSpPr>
      <xdr:spPr>
        <a:xfrm>
          <a:off x="578415" y="8383"/>
          <a:ext cx="637095" cy="344453"/>
        </a:xfrm>
        <a:prstGeom prst="rect">
          <a:avLst/>
        </a:prstGeom>
        <a:solidFill>
          <a:schemeClr val="accent2"/>
        </a:solidFill>
        <a:ln>
          <a:solidFill>
            <a:srgbClr val="0058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spAutoFit/>
        </a:bodyPr>
        <a:lstStyle/>
        <a:p>
          <a:pPr algn="ctr"/>
          <a:r>
            <a:rPr lang="es-ES" sz="1100" b="1"/>
            <a:t>Generar DATOS</a:t>
          </a:r>
        </a:p>
      </xdr:txBody>
    </xdr:sp>
    <xdr:clientData/>
  </xdr:oneCellAnchor>
  <xdr:oneCellAnchor>
    <xdr:from>
      <xdr:col>1</xdr:col>
      <xdr:colOff>1224062</xdr:colOff>
      <xdr:row>3</xdr:row>
      <xdr:rowOff>9893</xdr:rowOff>
    </xdr:from>
    <xdr:ext cx="637095" cy="344453"/>
    <xdr:sp macro="[0]!Datos_Fijos_Borrar" textlink="">
      <xdr:nvSpPr>
        <xdr:cNvPr id="3" name="Macro Borrar DATOS">
          <a:extLst>
            <a:ext uri="{FF2B5EF4-FFF2-40B4-BE49-F238E27FC236}">
              <a16:creationId xmlns:a16="http://schemas.microsoft.com/office/drawing/2014/main" id="{FCCDFDA5-30B4-4038-BAC3-3D094C1659C8}"/>
            </a:ext>
          </a:extLst>
        </xdr:cNvPr>
        <xdr:cNvSpPr/>
      </xdr:nvSpPr>
      <xdr:spPr>
        <a:xfrm>
          <a:off x="1458782" y="554777"/>
          <a:ext cx="637095" cy="344453"/>
        </a:xfrm>
        <a:prstGeom prst="rect">
          <a:avLst/>
        </a:prstGeom>
        <a:solidFill>
          <a:schemeClr val="accent2"/>
        </a:solidFill>
        <a:ln>
          <a:solidFill>
            <a:srgbClr val="00587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tIns="0" rIns="0" bIns="0" rtlCol="0" anchor="t">
          <a:spAutoFit/>
        </a:bodyPr>
        <a:lstStyle/>
        <a:p>
          <a:pPr algn="ctr"/>
          <a:r>
            <a:rPr lang="es-ES" sz="1100" b="1"/>
            <a:t>Borrar DATOS</a:t>
          </a:r>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D83A3F1-3B74-466E-99C0-F78B2B9DBB45}" name="T_Datos" displayName="T_Datos" ref="G16:M22" totalsRowShown="0" headerRowDxfId="175" dataDxfId="173" headerRowBorderDxfId="174" tableBorderDxfId="172" totalsRowBorderDxfId="171">
  <autoFilter ref="G16:M22" xr:uid="{66F580EC-7390-459A-B9E8-382287158925}"/>
  <tableColumns count="7">
    <tableColumn id="1" xr3:uid="{E549919E-C707-4A04-860D-782FFD0C4015}" name="ANGULOS" dataDxfId="170"/>
    <tableColumn id="3" xr3:uid="{5DE6F5A8-77F0-4E14-BE7E-0095877ABD73}" name="Acero" dataDxfId="169"/>
    <tableColumn id="5" xr3:uid="{E59CFC15-14A1-4652-8812-E91DD73D0998}" name="Esp" dataDxfId="168"/>
    <tableColumn id="4" xr3:uid="{6276006C-BC6E-4EFF-B95C-197C35078A27}" name="Seccion" dataDxfId="167"/>
    <tableColumn id="6" xr3:uid="{3FEC234C-15A8-4EFC-BE00-33D9A1FB6059}" name="Inercia" dataDxfId="166"/>
    <tableColumn id="2" xr3:uid="{414BAE9D-6AEB-44C4-91C8-4B9CB4AA12AA}" name="Area" dataDxfId="165"/>
    <tableColumn id="8" xr3:uid="{35C4D6F2-CD2A-4701-9D81-41C6E4A0F940}" name="Geom" dataDxfId="16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5A2EE3E-996C-4E8B-8FED-8807680EB83A}" name="Tabla6" displayName="Tabla6" ref="A37:E384" totalsRowShown="0" dataDxfId="163">
  <autoFilter ref="A37:E384" xr:uid="{75A2EE3E-996C-4E8B-8FED-8807680EB83A}"/>
  <tableColumns count="5">
    <tableColumn id="1" xr3:uid="{A2501D5D-514E-437A-9E72-301F4DFD784D}" name="Area" dataDxfId="162">
      <calculatedColumnFormula>E38^2*IF(Tipo_Seccion_Ale=$J$17,1,PI()/4)</calculatedColumnFormula>
    </tableColumn>
    <tableColumn id="2" xr3:uid="{EA5C07D0-1F2D-464A-BC72-845C7EB574C9}" name="Landa" dataDxfId="161">
      <calculatedColumnFormula>PROBLEMA!$F$84/(E38/IF(Tipo_Seccion_Ale=$J$17,12^0.5,4))</calculatedColumnFormula>
    </tableColumn>
    <tableColumn id="3" xr3:uid="{544A1277-FABB-4E55-AD47-9690FEAB880C}" name="w" dataDxfId="160">
      <calculatedColumnFormula>IFERROR(VLOOKUP(ROUNDUP(B38,0),Coef_w,Tipo_Ale+1),1)</calculatedColumnFormula>
    </tableColumn>
    <tableColumn id="4" xr3:uid="{3359D56C-2C4A-4AB3-9EF0-B6DD168F01F0}" name="A/w" dataDxfId="159">
      <calculatedColumnFormula>A38/C38</calculatedColumnFormula>
    </tableColumn>
    <tableColumn id="5" xr3:uid="{05C8B30D-9C00-42B0-B4C7-4935A7310406}" name="Lado / D" dataDxfId="158">
      <calculatedColumnFormula>E37+1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1289202-A8F2-44FC-BFE8-CDD1B4E77B96}" name="Tabla7" displayName="Tabla7" ref="G37:K384" totalsRowShown="0" dataDxfId="157">
  <autoFilter ref="G37:K384" xr:uid="{F1289202-A8F2-44FC-BFE8-CDD1B4E77B96}"/>
  <tableColumns count="5">
    <tableColumn id="1" xr3:uid="{07C54BF2-54A7-4FF3-BF00-3FB2F6DAAFDA}" name="Área" dataDxfId="156">
      <calculatedColumnFormula>I38^2*IF(Tipo_Seccion_Ale=$J$17,1,PI()/4)</calculatedColumnFormula>
    </tableColumn>
    <tableColumn id="2" xr3:uid="{A5E69DD0-CDCC-4768-A2C7-A0C5CDA8FB98}" name="tensión" dataDxfId="155">
      <calculatedColumnFormula>PROBLEMA!$E$105/G38*K38</calculatedColumnFormula>
    </tableColumn>
    <tableColumn id="3" xr3:uid="{621B4FB2-FDD2-4382-AE77-CF0DA5A7F09D}" name="d" dataDxfId="154">
      <calculatedColumnFormula>$I$36+ROW()-36</calculatedColumnFormula>
    </tableColumn>
    <tableColumn id="4" xr3:uid="{534BDAC7-E0DC-43D5-83AA-B00776CB109B}" name="Landa" dataDxfId="153">
      <calculatedColumnFormula>PROBLEMA!$F$102/(I38/IF(Tipo_Seccion_Ale=$J$17,12^0.5,4))</calculatedColumnFormula>
    </tableColumn>
    <tableColumn id="5" xr3:uid="{47366AA4-91D1-48B2-A328-3845F1639898}" name="w" dataDxfId="152">
      <calculatedColumnFormula>IFERROR(VLOOKUP(ROUNDUP(J38,0),Coef_w,Tipo_Ale+1),1)</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_D_FIJOS" displayName="T_D_FIJOS" ref="A4:AI8" headerRowDxfId="151" dataDxfId="150" tableBorderDxfId="149">
  <autoFilter ref="A4:AI8" xr:uid="{00000000-0009-0000-0100-000001000000}"/>
  <tableColumns count="35">
    <tableColumn id="36" xr3:uid="{482D2695-0B7F-483C-99B1-D8156D2D3B4E}" name="Nº" dataDxfId="148">
      <calculatedColumnFormula>ROW()-ROW(T_D_FIJOS[[#Headers],[Nº]])</calculatedColumnFormula>
    </tableColumn>
    <tableColumn id="1" xr3:uid="{00000000-0010-0000-0000-000001000000}" name="NOMBRE" totalsRowLabel="Cercha-3m-60°70mm-redondo macizoBEE S275-2" dataDxfId="147" totalsRowDxfId="146"/>
    <tableColumn id="2" xr3:uid="{00000000-0010-0000-0000-000002000000}" name="Longitud" totalsRowLabel="3" dataDxfId="145" totalsRowDxfId="144"/>
    <tableColumn id="3" xr3:uid="{00000000-0010-0000-0000-000003000000}" name="Ángulo" totalsRowLabel="60,00" dataDxfId="143" totalsRowDxfId="142"/>
    <tableColumn id="11" xr3:uid="{E833941E-A391-4C61-9EE2-0BA706156677}" name="Diám / Lado" totalsRowLabel="70" dataDxfId="141" totalsRowDxfId="140"/>
    <tableColumn id="26" xr3:uid="{AB0331A2-BF60-483B-94F7-E2D0366697F1}" name="Tipo Secc." totalsRowLabel="redondo macizo" dataDxfId="139" totalsRowDxfId="138"/>
    <tableColumn id="9" xr3:uid="{3883E14A-AEA9-4DBD-95D1-DB4271485A05}" name="Ap 1 v" totalsRowLabel="B" dataDxfId="137" totalsRowDxfId="136"/>
    <tableColumn id="21" xr3:uid="{3A05CC7D-A758-4A48-A677-8414EDD3D6E4}" name="Ap 2 v" totalsRowLabel="E" dataDxfId="135" totalsRowDxfId="134"/>
    <tableColumn id="10" xr3:uid="{CF945BBE-C825-4467-A08B-443E195B92AA}" name="Ap 1 h" totalsRowLabel="E" dataDxfId="133" totalsRowDxfId="132"/>
    <tableColumn id="22" xr3:uid="{B56BBB82-D414-4B40-BC6F-9127DDF0EB34}" name="Acero" totalsRowLabel="275" dataDxfId="131" totalsRowDxfId="130"/>
    <tableColumn id="25" xr3:uid="{D73BB5B3-DDE7-482D-AB33-04F4EB1B9557}" name="Tipo Imperf" totalsRowLabel="2" dataDxfId="129" totalsRowDxfId="128"/>
    <tableColumn id="20" xr3:uid="{1B6EE192-3C5D-4950-A2EC-D53A1E0C7D2D}" name="Pv A" totalsRowLabel="-50" dataDxfId="127" totalsRowDxfId="126"/>
    <tableColumn id="19" xr3:uid="{15B5A031-8A7B-4077-A93E-938A06EAFAB8}" name="Pv B" totalsRowLabel="0" dataDxfId="125" totalsRowDxfId="124"/>
    <tableColumn id="18" xr3:uid="{12AD9D23-A012-420E-B38C-A77077548895}" name="Pv C" totalsRowLabel="200" dataDxfId="123" totalsRowDxfId="122"/>
    <tableColumn id="17" xr3:uid="{F11820A6-82F1-4D78-A19D-751258DDB51C}" name="Pv D" totalsRowLabel="50" dataDxfId="121" totalsRowDxfId="120"/>
    <tableColumn id="16" xr3:uid="{7F6272D2-F697-4070-9C33-A2FA72ECAD6C}" name="Pv E" totalsRowLabel="0" dataDxfId="119" totalsRowDxfId="118"/>
    <tableColumn id="15" xr3:uid="{7A6A4C0D-F955-4C3B-9B27-354F36635FCC}" name="Ph A" totalsRowLabel="-150" dataDxfId="117" totalsRowDxfId="116"/>
    <tableColumn id="14" xr3:uid="{8FDE11CA-4D62-4898-8E7A-947D63581147}" name="Ph B" totalsRowLabel="0" dataDxfId="115" totalsRowDxfId="114"/>
    <tableColumn id="13" xr3:uid="{1FE16BD2-D3AB-4054-BD5C-88B1BBB56083}" name="Ph C" totalsRowLabel="-100" dataDxfId="113" totalsRowDxfId="112"/>
    <tableColumn id="12" xr3:uid="{50D818FC-ACDE-4B24-8A4F-0A9486007D2F}" name="Ph D" totalsRowLabel="-50" dataDxfId="111" totalsRowDxfId="110"/>
    <tableColumn id="23" xr3:uid="{60681BF9-1529-4FB7-8D95-72D205C4376E}" name="Ph E" totalsRowLabel="0" dataDxfId="109" totalsRowDxfId="108"/>
    <tableColumn id="5" xr3:uid="{00000000-0010-0000-0000-000005000000}" name="R Vertical 1" totalsRowLabel="-183,01" dataDxfId="107" totalsRowDxfId="106"/>
    <tableColumn id="6" xr3:uid="{00000000-0010-0000-0000-000006000000}" name="R Vertical 2" totalsRowLabel="-16,99" dataDxfId="105" totalsRowDxfId="104"/>
    <tableColumn id="31" xr3:uid="{38E8F53B-7639-4370-A3B5-841F918A54DF}" name="R Horizontal" totalsRowLabel="300,00" dataDxfId="103" totalsRowDxfId="102"/>
    <tableColumn id="30" xr3:uid="{5A1AE36C-A160-4FBB-96C7-C2698009E29A}" name="TAD" totalsRowLabel="57,74" dataDxfId="101" totalsRowDxfId="100"/>
    <tableColumn id="29" xr3:uid="{1A898187-226B-4502-B453-506C31D1153D}" name="TAB" totalsRowLabel="121,13" dataDxfId="99" totalsRowDxfId="98"/>
    <tableColumn id="28" xr3:uid="{16730B2C-4127-4633-87CD-60A0CB334A64}" name="TCE" totalsRowLabel="-230,94" dataDxfId="97" totalsRowDxfId="96"/>
    <tableColumn id="27" xr3:uid="{FEFF2FEC-BDA2-4E4F-AB43-3CA4977029B6}" name="TCB" totalsRowLabel="15,47" dataDxfId="95" totalsRowDxfId="94"/>
    <tableColumn id="24" xr3:uid="{74031D24-4463-4DAD-851C-653431630402}" name="TDB" totalsRowLabel="0,00" dataDxfId="93" totalsRowDxfId="92"/>
    <tableColumn id="35" xr3:uid="{144D08A4-1079-406E-961F-460416B844F4}" name="TDE" totalsRowLabel="78,87" dataDxfId="91" totalsRowDxfId="90"/>
    <tableColumn id="34" xr3:uid="{11DA7BBE-78C8-4F36-B161-AF7D7CEB2A12}" name="TBE" totalsRowLabel="211,32" dataDxfId="89" totalsRowDxfId="88"/>
    <tableColumn id="33" xr3:uid="{B1B24CE8-708B-4423-A3DA-34EC67D8923C}" name="D min" totalsRowLabel="71" dataDxfId="87" totalsRowDxfId="86"/>
    <tableColumn id="8" xr3:uid="{00000000-0010-0000-0000-000008000000}" name="Imagen" dataDxfId="85" totalsRowDxfId="84"/>
    <tableColumn id="4" xr3:uid="{0F4B69B0-E016-4E41-9516-23B6D0347197}" name="IMPRIMIR" dataDxfId="83"/>
    <tableColumn id="7" xr3:uid="{A355EDB0-6C96-435B-9E00-FA45887B11A4}" name="N_Pb" dataDxfId="82">
      <calculatedColumnFormula>IF(Imp_OK=_OK,ROW()-ROW(T_D_FIJOS[[#Headers],[N_Pb]]),IF(T_D_FIJOS[[#This Row],[IMPRIMIR]]="",0,COUNTA(INDIRECT("$AH$5:AH"&amp;ROW()))))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_D_IMAGENES" displayName="T_D_IMAGENES" ref="A1:F2" totalsRowShown="0" headerRowDxfId="81">
  <autoFilter ref="A1:F2" xr:uid="{00000000-0009-0000-0100-000002000000}"/>
  <tableColumns count="6">
    <tableColumn id="1" xr3:uid="{00000000-0010-0000-0100-000001000000}" name="NOMBRE" dataDxfId="80"/>
    <tableColumn id="2" xr3:uid="{00000000-0010-0000-0100-000002000000}" name="Enlace" dataDxfId="79" dataCellStyle="Hipervínculo"/>
    <tableColumn id="3" xr3:uid="{00000000-0010-0000-0100-000003000000}" name="ID" dataDxfId="78">
      <calculatedColumnFormula>MID(B2,26,33)</calculatedColumnFormula>
    </tableColumn>
    <tableColumn id="4" xr3:uid="{00000000-0010-0000-0100-000004000000}" name="Ancho" dataDxfId="77"/>
    <tableColumn id="5" xr3:uid="{00000000-0010-0000-0100-000005000000}" name="Alto" dataDxfId="76"/>
    <tableColumn id="6" xr3:uid="{00000000-0010-0000-0100-000006000000}" name="URL FTP" dataDxfId="75">
      <calculatedColumnFormula>URL_I&amp;T_D_IMAGENES[[#This Row],[Enlace]]&amp;URL_W&amp;T_D_IMAGENES[[#This Row],[Ancho]]&amp;URL_ALTO&amp;T_D_IMAGENES[[#This Row],[Alto]]&amp;URL_F</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74868A1-0BE4-48D2-AB86-3D67FCE5BABE}" name="Tabla2" displayName="Tabla2" ref="A5:E237" totalsRowShown="0" headerRowDxfId="74" headerRowBorderDxfId="73" tableBorderDxfId="72">
  <autoFilter ref="A5:E237" xr:uid="{1567E085-8F35-419B-996F-5BA674F94A45}"/>
  <tableColumns count="5">
    <tableColumn id="1" xr3:uid="{1491F14A-C300-46D3-AC04-E14F70ED33C6}" name="1" dataDxfId="71">
      <calculatedColumnFormula>ROW()+13</calculatedColumnFormula>
    </tableColumn>
    <tableColumn id="2" xr3:uid="{756E9BA9-0FFA-4661-A2A1-E7CB4A599142}" name="2" dataDxfId="70">
      <calculatedColumnFormula xml:space="preserve">   0.5*(1+B$6*(($A6/(PI()*(210000/B$4)^0.5))-0.2)+($A6/(PI()*(210000/B$4)^0.5))^2)
+((0.5*(1+B$6*(($A6/(PI()*(210000/B$4)^0.5))-0.2)+($A6/(PI()*(210000/B$4)^0.5))^2))^2
-($A6/(PI()*(210000/B$4)^0.5))^2)^0.5</calculatedColumnFormula>
    </tableColumn>
    <tableColumn id="3" xr3:uid="{9EA2C947-E8E4-4C42-87D8-E1CE647C0F58}" name="3" dataDxfId="69">
      <calculatedColumnFormula xml:space="preserve">   0.5*(1+C$6*(($A6/(PI()*(210000/C$4)^0.5))-0.2)+($A6/(PI()*(210000/C$4)^0.5))^2)
+((0.5*(1+C$6*(($A6/(PI()*(210000/C$4)^0.5))-0.2)+($A6/(PI()*(210000/C$4)^0.5))^2))^2
-($A6/(PI()*(210000/C$4)^0.5))^2)^0.5</calculatedColumnFormula>
    </tableColumn>
    <tableColumn id="4" xr3:uid="{907A8D70-7C6D-45F0-9728-A9946419DCEE}" name="4" dataDxfId="68">
      <calculatedColumnFormula xml:space="preserve">   0.5*(1+D$6*(($A6/(PI()*(210000/D$4)^0.5))-0.2)+($A6/(PI()*(210000/D$4)^0.5))^2)
+((0.5*(1+D$6*(($A6/(PI()*(210000/D$4)^0.5))-0.2)+($A6/(PI()*(210000/D$4)^0.5))^2))^2
-($A6/(PI()*(210000/D$4)^0.5))^2)^0.5</calculatedColumnFormula>
    </tableColumn>
    <tableColumn id="5" xr3:uid="{FE27792A-F793-4D6C-9AE7-CEFCE5DD664C}" name="5" dataDxfId="67">
      <calculatedColumnFormula xml:space="preserve">   0.5*(1+E$6*(($A6/(PI()*(210000/E$4)^0.5))-0.2)+($A6/(PI()*(210000/E$4)^0.5))^2)
+((0.5*(1+E$6*(($A6/(PI()*(210000/E$4)^0.5))-0.2)+($A6/(PI()*(210000/E$4)^0.5))^2))^2
-($A6/(PI()*(210000/E$4)^0.5))^2)^0.5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youtu.be/V6cLircQdsI" TargetMode="External"/><Relationship Id="rId7" Type="http://schemas.openxmlformats.org/officeDocument/2006/relationships/drawing" Target="../drawings/drawing1.xml"/><Relationship Id="rId2" Type="http://schemas.openxmlformats.org/officeDocument/2006/relationships/hyperlink" Target="https://youtu.be/V6cLircQdsI" TargetMode="External"/><Relationship Id="rId1" Type="http://schemas.openxmlformats.org/officeDocument/2006/relationships/hyperlink" Target="https://www.youtube.com/watch?v=PV3VHzg7Q7A" TargetMode="External"/><Relationship Id="rId6" Type="http://schemas.openxmlformats.org/officeDocument/2006/relationships/printerSettings" Target="../printerSettings/printerSettings1.bin"/><Relationship Id="rId5" Type="http://schemas.openxmlformats.org/officeDocument/2006/relationships/hyperlink" Target="https://docs.google.com/spreadsheets/d/13DvMvhVkx12qg-r4tkzOiIfJDa5zrdOtAeIbpwYfeQk/edit?gid=738472719" TargetMode="External"/><Relationship Id="rId4" Type="http://schemas.openxmlformats.org/officeDocument/2006/relationships/hyperlink" Target="https://docs.google.com/spreadsheets/d/13DvMvhVkx12qg-r4tkzOiIfJDa5zrdOtAeIbpwYfeQk/edit?gid=738472719" TargetMode="Externa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printerSettings" Target="../printerSettings/printerSettings6.bin"/><Relationship Id="rId1" Type="http://schemas.openxmlformats.org/officeDocument/2006/relationships/hyperlink" Target="https://i.ibb.co/Ssb0PNT/Cercha-Tipo-1.png" TargetMode="External"/></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3888EC-5029-4AB0-9069-EB39C0F0DFD4}">
  <sheetPr published="0" codeName="a_Instrucciones">
    <tabColor rgb="FFFFFF00"/>
    <pageSetUpPr fitToPage="1"/>
  </sheetPr>
  <dimension ref="A1:E29"/>
  <sheetViews>
    <sheetView showGridLines="0" showRowColHeaders="0" zoomScale="139" zoomScaleNormal="133" zoomScaleSheetLayoutView="81" workbookViewId="0">
      <pane ySplit="1" topLeftCell="A2" activePane="bottomLeft" state="frozen"/>
      <selection pane="bottomLeft" activeCell="B1" sqref="B1"/>
    </sheetView>
  </sheetViews>
  <sheetFormatPr baseColWidth="10" defaultColWidth="0" defaultRowHeight="14.35" zeroHeight="1" outlineLevelRow="1" x14ac:dyDescent="0.5"/>
  <cols>
    <col min="1" max="1" width="4" customWidth="1"/>
    <col min="2" max="2" width="88.29296875" customWidth="1"/>
    <col min="3" max="3" width="3.3515625" customWidth="1"/>
    <col min="4" max="4" width="1.41015625" hidden="1" customWidth="1"/>
    <col min="5" max="5" width="1.76171875" hidden="1" customWidth="1"/>
    <col min="6" max="16384" width="10.8203125" hidden="1"/>
  </cols>
  <sheetData>
    <row r="1" spans="1:4" ht="21" customHeight="1" thickBot="1" x14ac:dyDescent="0.55000000000000004">
      <c r="A1" s="288">
        <v>6</v>
      </c>
      <c r="B1" s="307" t="str">
        <f>"INSTRUCCIONES PARA GENERAR PROBLEMAS DE CERCHAS TIPO 1 - "&amp;Version&amp;"®️"</f>
        <v>INSTRUCCIONES PARA GENERAR PROBLEMAS DE CERCHAS TIPO 1 - V1.6®️</v>
      </c>
      <c r="C1" s="289" t="s">
        <v>236</v>
      </c>
      <c r="D1" s="280"/>
    </row>
    <row r="2" spans="1:4" ht="14.7" thickTop="1" x14ac:dyDescent="0.5">
      <c r="A2" s="331" t="s">
        <v>16</v>
      </c>
      <c r="B2" s="332"/>
      <c r="C2" s="333"/>
      <c r="D2" s="334"/>
    </row>
    <row r="3" spans="1:4" ht="28.7" outlineLevel="1" x14ac:dyDescent="0.5">
      <c r="A3" s="274" t="s">
        <v>23</v>
      </c>
      <c r="B3" s="282" t="s">
        <v>277</v>
      </c>
      <c r="C3" s="338"/>
      <c r="D3" s="335"/>
    </row>
    <row r="4" spans="1:4" ht="71.7" outlineLevel="1" x14ac:dyDescent="0.5">
      <c r="A4" s="274" t="s">
        <v>25</v>
      </c>
      <c r="B4" s="282" t="s">
        <v>293</v>
      </c>
      <c r="C4" s="338"/>
      <c r="D4" s="335"/>
    </row>
    <row r="5" spans="1:4" ht="43" outlineLevel="1" x14ac:dyDescent="0.5">
      <c r="A5" s="274" t="s">
        <v>24</v>
      </c>
      <c r="B5" s="282" t="s">
        <v>297</v>
      </c>
      <c r="C5" s="338"/>
      <c r="D5" s="335"/>
    </row>
    <row r="6" spans="1:4" ht="43" outlineLevel="1" x14ac:dyDescent="0.5">
      <c r="A6" s="274" t="s">
        <v>26</v>
      </c>
      <c r="B6" s="282" t="s">
        <v>276</v>
      </c>
      <c r="C6" s="338"/>
      <c r="D6" s="335"/>
    </row>
    <row r="7" spans="1:4" ht="315.35000000000002" outlineLevel="1" x14ac:dyDescent="0.5">
      <c r="A7" s="274" t="s">
        <v>263</v>
      </c>
      <c r="B7" s="282" t="s">
        <v>312</v>
      </c>
      <c r="C7" s="338"/>
      <c r="D7" s="335"/>
    </row>
    <row r="8" spans="1:4" ht="43" outlineLevel="1" x14ac:dyDescent="0.5">
      <c r="A8" s="274" t="s">
        <v>265</v>
      </c>
      <c r="B8" s="282" t="s">
        <v>237</v>
      </c>
      <c r="C8" s="338"/>
      <c r="D8" s="335"/>
    </row>
    <row r="9" spans="1:4" ht="57.35" outlineLevel="1" x14ac:dyDescent="0.5">
      <c r="A9" s="274" t="s">
        <v>296</v>
      </c>
      <c r="B9" s="282" t="s">
        <v>264</v>
      </c>
      <c r="C9" s="338"/>
      <c r="D9" s="335"/>
    </row>
    <row r="10" spans="1:4" ht="9" customHeight="1" outlineLevel="1" thickBot="1" x14ac:dyDescent="0.55000000000000004">
      <c r="A10" s="275"/>
      <c r="B10" s="282"/>
      <c r="C10" s="339"/>
      <c r="D10" s="336"/>
    </row>
    <row r="11" spans="1:4" ht="14.7" thickTop="1" x14ac:dyDescent="0.5">
      <c r="A11" s="340" t="s">
        <v>266</v>
      </c>
      <c r="B11" s="341"/>
      <c r="C11" s="342"/>
      <c r="D11" s="337"/>
    </row>
    <row r="12" spans="1:4" outlineLevel="1" x14ac:dyDescent="0.5">
      <c r="A12" s="274" t="s">
        <v>27</v>
      </c>
      <c r="B12" s="282" t="s">
        <v>272</v>
      </c>
      <c r="C12" s="338"/>
      <c r="D12" s="335"/>
    </row>
    <row r="13" spans="1:4" ht="43" customHeight="1" outlineLevel="1" x14ac:dyDescent="0.5">
      <c r="A13" s="274" t="s">
        <v>267</v>
      </c>
      <c r="B13" s="282" t="s">
        <v>278</v>
      </c>
      <c r="C13" s="338"/>
      <c r="D13" s="335"/>
    </row>
    <row r="14" spans="1:4" ht="43" outlineLevel="1" x14ac:dyDescent="0.5">
      <c r="A14" s="274" t="s">
        <v>268</v>
      </c>
      <c r="B14" s="282" t="s">
        <v>281</v>
      </c>
      <c r="C14" s="338"/>
      <c r="D14" s="335"/>
    </row>
    <row r="15" spans="1:4" ht="43" outlineLevel="1" x14ac:dyDescent="0.5">
      <c r="A15" s="274" t="s">
        <v>269</v>
      </c>
      <c r="B15" s="282" t="s">
        <v>282</v>
      </c>
      <c r="C15" s="338"/>
      <c r="D15" s="335"/>
    </row>
    <row r="16" spans="1:4" ht="71.7" outlineLevel="1" x14ac:dyDescent="0.5">
      <c r="A16" s="274" t="s">
        <v>270</v>
      </c>
      <c r="B16" s="282" t="s">
        <v>283</v>
      </c>
      <c r="C16" s="338"/>
      <c r="D16" s="335"/>
    </row>
    <row r="17" spans="1:4" ht="28.7" outlineLevel="1" x14ac:dyDescent="0.5">
      <c r="A17" s="274" t="s">
        <v>271</v>
      </c>
      <c r="B17" s="282" t="s">
        <v>284</v>
      </c>
      <c r="C17" s="338"/>
      <c r="D17" s="335"/>
    </row>
    <row r="18" spans="1:4" ht="43" outlineLevel="1" x14ac:dyDescent="0.5">
      <c r="A18" s="274" t="s">
        <v>292</v>
      </c>
      <c r="B18" s="282" t="s">
        <v>304</v>
      </c>
      <c r="C18" s="338"/>
      <c r="D18" s="335"/>
    </row>
    <row r="19" spans="1:4" outlineLevel="1" x14ac:dyDescent="0.5">
      <c r="A19" s="274"/>
      <c r="B19" s="283" t="s">
        <v>301</v>
      </c>
      <c r="C19" s="338"/>
      <c r="D19" s="335"/>
    </row>
    <row r="20" spans="1:4" ht="29" outlineLevel="1" thickBot="1" x14ac:dyDescent="0.55000000000000004">
      <c r="A20" s="274"/>
      <c r="B20" s="284" t="s">
        <v>313</v>
      </c>
      <c r="C20" s="338"/>
      <c r="D20" s="335"/>
    </row>
    <row r="21" spans="1:4" ht="14.7" thickTop="1" x14ac:dyDescent="0.5">
      <c r="A21" s="343" t="s">
        <v>273</v>
      </c>
      <c r="B21" s="344"/>
      <c r="C21" s="345"/>
      <c r="D21" s="337"/>
    </row>
    <row r="22" spans="1:4" outlineLevel="1" x14ac:dyDescent="0.5">
      <c r="A22" s="143" t="s">
        <v>274</v>
      </c>
      <c r="B22" s="285" t="s">
        <v>298</v>
      </c>
      <c r="C22" s="347"/>
      <c r="D22" s="335"/>
    </row>
    <row r="23" spans="1:4" outlineLevel="1" x14ac:dyDescent="0.5">
      <c r="A23" s="143" t="s">
        <v>275</v>
      </c>
      <c r="B23" s="285" t="s">
        <v>288</v>
      </c>
      <c r="C23" s="347"/>
      <c r="D23" s="335"/>
    </row>
    <row r="24" spans="1:4" ht="43" outlineLevel="1" x14ac:dyDescent="0.5">
      <c r="A24" s="143" t="s">
        <v>287</v>
      </c>
      <c r="B24" s="285" t="s">
        <v>299</v>
      </c>
      <c r="C24" s="347"/>
      <c r="D24" s="335"/>
    </row>
    <row r="25" spans="1:4" ht="75.349999999999994" customHeight="1" outlineLevel="1" thickBot="1" x14ac:dyDescent="0.55000000000000004">
      <c r="A25" s="286" t="s">
        <v>286</v>
      </c>
      <c r="B25" s="287" t="s">
        <v>289</v>
      </c>
      <c r="C25" s="348"/>
      <c r="D25" s="346"/>
    </row>
    <row r="26" spans="1:4" ht="15" customHeight="1" thickTop="1" x14ac:dyDescent="0.5">
      <c r="A26" s="349" t="s">
        <v>285</v>
      </c>
      <c r="B26" s="350"/>
      <c r="C26" s="350"/>
      <c r="D26" s="281"/>
    </row>
    <row r="27" spans="1:4" hidden="1" x14ac:dyDescent="0.5">
      <c r="A27" s="330"/>
      <c r="B27" s="330"/>
      <c r="C27" s="330"/>
      <c r="D27" s="330"/>
    </row>
    <row r="28" spans="1:4" x14ac:dyDescent="0.5"/>
    <row r="29" spans="1:4" x14ac:dyDescent="0.5"/>
  </sheetData>
  <sheetProtection algorithmName="SHA-512" hashValue="iEg4+S3+mlR45qIuUCX6iQYlgNnvRzpTZ9R0v+N7jDL7YfZFYmReM57mAQeYJcilT1g8EYIc5bhNbKpOx6Z4Pw==" saltValue="59Qa+EIyYytvuY2OL2yg2g==" spinCount="100000" sheet="1" objects="1" scenarios="1" formatRows="0" selectLockedCells="1"/>
  <dataConsolidate/>
  <mergeCells count="11">
    <mergeCell ref="A27:D27"/>
    <mergeCell ref="A2:C2"/>
    <mergeCell ref="D2:D10"/>
    <mergeCell ref="D11:D20"/>
    <mergeCell ref="C3:C10"/>
    <mergeCell ref="C12:C20"/>
    <mergeCell ref="A11:C11"/>
    <mergeCell ref="A21:C21"/>
    <mergeCell ref="D21:D25"/>
    <mergeCell ref="C22:C25"/>
    <mergeCell ref="A26:C26"/>
  </mergeCells>
  <hyperlinks>
    <hyperlink ref="A2:C2" r:id="rId1" display="1. PROBLEMA" xr:uid="{34AAA021-E4C6-4646-90A5-407F7203FA97}"/>
    <hyperlink ref="A11:C11" r:id="rId2" display="4. RESULTADOS - FTP (oculta, para preparar problemas para Moodle con FastTest PlugIn)" xr:uid="{5139409E-CAE7-48B0-B965-98CFC97B62E6}"/>
    <hyperlink ref="A21:C21" r:id="rId3" display="4. RESULTADOS - FTP (oculta, para preparar problemas para Moodle con FastTest PlugIn)" xr:uid="{13455218-9D98-44BD-A5CE-0E6C90A481B4}"/>
    <hyperlink ref="B1" r:id="rId4" location="gid=738472719" display="INSTRUCCIONES PARA GENERAR PROBLEMAS DE CERCHAS TIPO 1" xr:uid="{F15A6657-C897-4649-AAA4-1F843141CC7D}"/>
    <hyperlink ref="C1" r:id="rId5" location="gid=738472719" tooltip="INDICE VIDEOS" xr:uid="{44AD1293-1B5C-4E54-ACC3-86F6A384D112}"/>
  </hyperlinks>
  <printOptions horizontalCentered="1"/>
  <pageMargins left="0.23622047244094491" right="0.23622047244094491" top="0.23622047244094491" bottom="0.47244094488188981" header="0.11811023622047245" footer="0.31496062992125984"/>
  <pageSetup paperSize="9" scale="95" orientation="portrait" horizontalDpi="4294967295" verticalDpi="4294967295" r:id="rId6"/>
  <headerFooter>
    <oddFooter>&amp;CElaborado por Milagros Huerta GM (UCA)&amp;R&amp;P / &amp;N</oddFooter>
  </headerFooter>
  <drawing r:id="rId7"/>
  <legacyDrawing r:id="rId8"/>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_Problema">
    <tabColor theme="4" tint="-0.249977111117893"/>
  </sheetPr>
  <dimension ref="A1:AB224"/>
  <sheetViews>
    <sheetView showGridLines="0" showRowColHeaders="0" tabSelected="1" zoomScale="89" zoomScaleNormal="100" zoomScaleSheetLayoutView="119" workbookViewId="0">
      <pane xSplit="24" ySplit="8" topLeftCell="Y9" activePane="bottomRight" state="frozen"/>
      <selection pane="topRight" activeCell="Y1" sqref="Y1"/>
      <selection pane="bottomLeft" activeCell="A9" sqref="A9"/>
      <selection pane="bottomRight" activeCell="P6" sqref="P6:S6"/>
    </sheetView>
  </sheetViews>
  <sheetFormatPr baseColWidth="10" defaultColWidth="0" defaultRowHeight="14.35" zeroHeight="1" outlineLevelRow="4" outlineLevelCol="1" x14ac:dyDescent="0.5"/>
  <cols>
    <col min="1" max="1" width="1.703125" customWidth="1"/>
    <col min="2" max="2" width="10.5859375" customWidth="1"/>
    <col min="3" max="12" width="5.52734375" customWidth="1"/>
    <col min="13" max="13" width="12.05859375" customWidth="1"/>
    <col min="14" max="14" width="1.87890625" customWidth="1"/>
    <col min="15" max="15" width="14.1171875" customWidth="1"/>
    <col min="16" max="16" width="8.17578125" customWidth="1"/>
    <col min="17" max="17" width="9.05859375" customWidth="1"/>
    <col min="18" max="18" width="11.9375" customWidth="1"/>
    <col min="19" max="19" width="4.3515625" customWidth="1"/>
    <col min="20" max="20" width="4.3515625" hidden="1" customWidth="1" outlineLevel="1"/>
    <col min="21" max="24" width="5.64453125" hidden="1" customWidth="1" outlineLevel="1"/>
    <col min="25" max="25" width="3.5859375" hidden="1" customWidth="1" outlineLevel="1"/>
    <col min="26" max="26" width="8.17578125" hidden="1" customWidth="1" outlineLevel="1"/>
    <col min="27" max="27" width="5.64453125" hidden="1" customWidth="1" outlineLevel="1"/>
    <col min="28" max="28" width="2.9375" customWidth="1" collapsed="1"/>
    <col min="29" max="16384" width="10.8203125" hidden="1"/>
  </cols>
  <sheetData>
    <row r="1" spans="1:24" ht="14.7" thickBot="1" x14ac:dyDescent="0.55000000000000004">
      <c r="B1" s="369" t="str">
        <f ca="1">IFERROR(IF(D_Fijos=_OK,TEXT(VLOOKUP(Nombre_Datos,T_D_FIJOS[[NOMBRE]:[N_Pb]],COLUMN(T_D_FIJOS[[#Headers],[N_Pb]])-1,0),REPT("0",LEN(D_Imprimir)))&amp;" - "&amp;Nombre_Datos,"Aleatorio - "&amp;Nombre_Variable),"ALGUN ERROR")</f>
        <v>1 - Cerchas  - 4m-30°60mm-redondo macizoBCC S235-3</v>
      </c>
      <c r="C1" s="370"/>
      <c r="D1" s="370"/>
      <c r="E1" s="370"/>
      <c r="F1" s="370"/>
      <c r="G1" s="370"/>
      <c r="H1" s="370"/>
      <c r="I1" s="370"/>
      <c r="J1" s="370"/>
      <c r="K1" s="371" t="str">
        <f ca="1">IFERROR(IF(H105&gt;Acero_Ale,"/  5","/  4"),"")</f>
        <v>/  4</v>
      </c>
      <c r="L1" s="371"/>
      <c r="M1" s="371"/>
      <c r="O1" s="273" t="s">
        <v>92</v>
      </c>
      <c r="P1" s="238" t="s">
        <v>227</v>
      </c>
      <c r="Q1" s="239" t="s">
        <v>92</v>
      </c>
      <c r="R1" s="422" t="str">
        <f>Version</f>
        <v>V1.6</v>
      </c>
      <c r="S1" s="423"/>
    </row>
    <row r="2" spans="1:24" ht="87" customHeight="1" outlineLevel="1" thickTop="1" thickBot="1" x14ac:dyDescent="0.65">
      <c r="A2" s="372"/>
      <c r="B2" s="354" t="str">
        <f ca="1">IFERROR("La cercha de la figura (no está a escala) tiene un apoyo fijo en el nudo "&amp;Ap_Fijo&amp;", que no permite desplazamiento ni horizontal ni vertical, y un apoyo móvil en el nudo "&amp;Ap_Movil&amp;", que permite desplazamiento horizontal. Las dimensiones de la cercha son: L = "&amp;ROUND(L_,3)&amp;" m y h = "&amp;ROUND(h_,3)&amp;" m." &amp;Salto&amp;"
Las cargas puntuales aplicadas en los nudos son:"&amp;IF(COUNTIF(OCULTOS!R26:R30,"&lt;&gt;0")&lt;&gt;0,Salto&amp;IF(Salto="","",Tab)&amp;"
   - VERTICALES: "&amp;IF(Salto="","",REPT(Tab,3)),"")       &amp; OCULTOS!E5    &amp;IF(COUNTIF(OCULTOS!R31:R35,"&lt;&gt;0")&lt;&gt;0,Salto&amp;IF(Salto="","",Tab)&amp;"
   - HORIZONTALES: "&amp;IF(Salto="","",Tab),"")&amp; OCULTOS!E9  &amp;Salto&amp;"
Se pide calcular: "&amp;Salto,IF(N_Ini_D_FIjos&gt;N_Preg_D_Fijos,"El nº Inicial de DATOS FIJOS no puede ser mayor que el número de datos guardados. Selecciona un nº correcto en la celda Nº Inicial a Exportar DATOS FIJOS.","SELECCIONA UN DATO CORRECTO DE LA LISTA DE DATOS"))</f>
        <v xml:space="preserve">La cercha de la figura (no está a escala) tiene un apoyo fijo en el nudo C, que no permite desplazamiento ni horizontal ni vertical, y un apoyo móvil en el nudo B, que permite desplazamiento horizontal. Las dimensiones de la cercha son: L = 4 m y h = 1,155 m.
Las cargas puntuales aplicadas en los nudos son:
   - VERTICALES:  Pv A = 100 kN ↑; Pv D = 100 kN ↑; Pv E = 150 kN ↓;
   - HORIZONTALES:  Ph A = 50 kN ←; Ph D = 100 kN →; Ph E = 150 kN ←;
Se pide calcular: </v>
      </c>
      <c r="C2" s="354"/>
      <c r="D2" s="354"/>
      <c r="E2" s="354"/>
      <c r="F2" s="354"/>
      <c r="G2" s="354"/>
      <c r="H2" s="354"/>
      <c r="I2" s="354"/>
      <c r="J2" s="354"/>
      <c r="K2" s="354"/>
      <c r="L2" s="354"/>
      <c r="M2" s="354"/>
      <c r="N2" s="372"/>
      <c r="O2" s="154" t="s">
        <v>233</v>
      </c>
      <c r="P2" s="291" t="s">
        <v>31</v>
      </c>
      <c r="Q2" s="425" t="str">
        <f>IF(AND(D_Fijos=_OK,OR(Nombre_Datos="",Nombre_FTP=""),N_Ini_D_FIjos&lt;=N_Preg_D_Fijos),IF(_xlfn.ISFORMULA(Nombre_Datos),"Para exportar las preguntas a Moodle, debes abrir la aplicación FastTest PlugIn y escribir el nombre de ese archivo en la celda de abajo.",""),IF(_xlfn.ISFORMULA(Nombre_Datos),"El nº MÁXIMO de preguntas 
a GUARDAR en
FastTest PlugIn es:
"&amp;'DATOS FIJOS'!A1-N_Ini_D_FIjos+1,"Para exportar a Moodle las preguntas guardadas en 
DATOS FIJOS 
escribe en la celda 
Lista Datos: 
=Dato_FTP"))</f>
        <v>Para exportar a Moodle las preguntas guardadas en 
DATOS FIJOS 
escribe en la celda 
Lista Datos: 
=Dato_FTP</v>
      </c>
      <c r="R2" s="426"/>
      <c r="S2" s="426"/>
    </row>
    <row r="3" spans="1:24" ht="14.35" customHeight="1" thickTop="1" thickBot="1" x14ac:dyDescent="0.55000000000000004">
      <c r="A3" s="372"/>
      <c r="B3" s="354"/>
      <c r="C3" s="354"/>
      <c r="D3" s="354"/>
      <c r="E3" s="354"/>
      <c r="F3" s="354"/>
      <c r="G3" s="354"/>
      <c r="H3" s="354"/>
      <c r="I3" s="354"/>
      <c r="J3" s="354"/>
      <c r="K3" s="354"/>
      <c r="L3" s="354"/>
      <c r="M3" s="354"/>
      <c r="N3" s="372"/>
      <c r="O3" s="129" t="s">
        <v>228</v>
      </c>
      <c r="P3" s="290" t="s">
        <v>31</v>
      </c>
      <c r="Q3" s="427" t="s">
        <v>243</v>
      </c>
      <c r="R3" s="428"/>
      <c r="S3" s="428"/>
    </row>
    <row r="4" spans="1:24" ht="14.35" customHeight="1" outlineLevel="2" thickTop="1" thickBot="1" x14ac:dyDescent="0.55000000000000004">
      <c r="A4" s="372"/>
      <c r="B4" s="390" t="s">
        <v>242</v>
      </c>
      <c r="C4" s="390"/>
      <c r="D4" s="390"/>
      <c r="E4" s="390"/>
      <c r="F4" s="390"/>
      <c r="G4" s="390"/>
      <c r="H4" s="390"/>
      <c r="I4" s="390"/>
      <c r="J4" s="390"/>
      <c r="K4" s="390"/>
      <c r="L4" s="390"/>
      <c r="M4" s="390"/>
      <c r="N4" s="372"/>
      <c r="O4" s="129" t="s">
        <v>230</v>
      </c>
      <c r="P4" s="290" t="s">
        <v>31</v>
      </c>
      <c r="Q4" s="427"/>
      <c r="R4" s="428"/>
      <c r="S4" s="428"/>
    </row>
    <row r="5" spans="1:24" ht="14.35" customHeight="1" outlineLevel="2" thickTop="1" thickBot="1" x14ac:dyDescent="0.55000000000000004">
      <c r="A5" s="372"/>
      <c r="B5" s="390" t="s">
        <v>226</v>
      </c>
      <c r="C5" s="390"/>
      <c r="D5" s="390"/>
      <c r="E5" s="390"/>
      <c r="F5" s="390"/>
      <c r="G5" s="390"/>
      <c r="H5" s="390"/>
      <c r="I5" s="390"/>
      <c r="J5" s="390"/>
      <c r="K5" s="390"/>
      <c r="L5" s="390"/>
      <c r="M5" s="390"/>
      <c r="N5" s="372"/>
      <c r="O5" s="293" t="s">
        <v>294</v>
      </c>
      <c r="P5" s="292">
        <v>1</v>
      </c>
      <c r="Q5" s="298"/>
      <c r="R5" s="299"/>
      <c r="S5" s="300"/>
      <c r="U5" s="7" t="s">
        <v>300</v>
      </c>
    </row>
    <row r="6" spans="1:24" ht="27.35" customHeight="1" outlineLevel="2" thickTop="1" thickBot="1" x14ac:dyDescent="0.55000000000000004">
      <c r="A6" s="372"/>
      <c r="B6" s="390" t="str">
        <f>IFERROR("3) La tensión máxima de la estructura (con un decimal, en valor absoluto), sin tener en cuenta la esbeltez, si toda las barras tienen de sección un "&amp;Tipo_Seccion_Ale&amp;", de "&amp;D_L&amp;" d ="&amp;d_&amp;" mm.","")</f>
        <v>3) La tensión máxima de la estructura (con un decimal, en valor absoluto), sin tener en cuenta la esbeltez, si toda las barras tienen de sección un redondo macizo, de diámetro d =60 mm.</v>
      </c>
      <c r="C6" s="390"/>
      <c r="D6" s="390"/>
      <c r="E6" s="390"/>
      <c r="F6" s="390"/>
      <c r="G6" s="390"/>
      <c r="H6" s="390"/>
      <c r="I6" s="390"/>
      <c r="J6" s="390"/>
      <c r="K6" s="390"/>
      <c r="L6" s="390"/>
      <c r="M6" s="390"/>
      <c r="N6" s="372"/>
      <c r="O6" s="129" t="s">
        <v>231</v>
      </c>
      <c r="P6" s="429" t="s">
        <v>322</v>
      </c>
      <c r="Q6" s="430"/>
      <c r="R6" s="430"/>
      <c r="S6" s="430"/>
      <c r="U6" s="114" t="str">
        <f>IF(D_Fijos=_OK,Nombre_Datos,Nombre_Variable)</f>
        <v>Cerchas  - 4m-30°60mm-redondo macizoBCC S235-3</v>
      </c>
    </row>
    <row r="7" spans="1:24" ht="20.7" customHeight="1" outlineLevel="2" thickTop="1" thickBot="1" x14ac:dyDescent="0.55000000000000004">
      <c r="A7" s="372"/>
      <c r="B7" s="390" t="str">
        <f>IFERROR("4) El "&amp;D_L&amp;" mínimo (d) necesario (para todas las barras igual, en mm y sin decimales), teniendo en cuenta la esbeltez, para que no falle ninguna barra. El material es de acero S"&amp;Acero_Ale&amp;" y el coeficiente de imperfección es tipo "&amp;Tipo_Curva&amp;".","")</f>
        <v>4) El diámetro mínimo (d) necesario (para todas las barras igual, en mm y sin decimales), teniendo en cuenta la esbeltez, para que no falle ninguna barra. El material es de acero S235 y el coeficiente de imperfección es tipo c.</v>
      </c>
      <c r="C7" s="390"/>
      <c r="D7" s="390"/>
      <c r="E7" s="390"/>
      <c r="F7" s="390"/>
      <c r="G7" s="390"/>
      <c r="H7" s="390"/>
      <c r="I7" s="390"/>
      <c r="J7" s="390"/>
      <c r="K7" s="390"/>
      <c r="L7" s="390"/>
      <c r="M7" s="390"/>
      <c r="N7" s="372"/>
      <c r="O7" s="130" t="s">
        <v>232</v>
      </c>
      <c r="P7" s="290">
        <v>0</v>
      </c>
      <c r="Q7" s="433" t="str" cm="1">
        <f t="array" aca="1" ref="Q7" ca="1">IFERROR(INDIRECT("'["&amp;Nombre_FTP&amp;".xlsm]Datos CL'!H1"),"Abrir aplicación FastTest PlugIn")</f>
        <v>Abrir aplicación FastTest PlugIn</v>
      </c>
      <c r="R7" s="434"/>
      <c r="S7" s="435"/>
      <c r="U7" s="424" t="str" cm="1">
        <f t="array" aca="1" ref="U7" ca="1">IFERROR(IF(N_Preg_FTP_Inicial&gt;N_Preg_FTP,"",INDEX(T_D_FIJOS[NOMBRE],N_Ini_D_FIjos+(N_Preg_FTP-N_Preg_FTP_Inicial))),"")&amp;
TEXT(N("Esta fórmula es para que se incremente el valor, según se van guardando preguntas en FTP"),"")</f>
        <v/>
      </c>
      <c r="V7" s="424"/>
      <c r="W7" s="424"/>
      <c r="X7" s="424"/>
    </row>
    <row r="8" spans="1:24" ht="22" customHeight="1" outlineLevel="2" thickTop="1" thickBot="1" x14ac:dyDescent="0.55000000000000004">
      <c r="A8" s="372"/>
      <c r="B8" s="390"/>
      <c r="C8" s="390"/>
      <c r="D8" s="390"/>
      <c r="E8" s="390"/>
      <c r="F8" s="390"/>
      <c r="G8" s="390"/>
      <c r="H8" s="390"/>
      <c r="I8" s="390"/>
      <c r="J8" s="390"/>
      <c r="K8" s="390"/>
      <c r="L8" s="390"/>
      <c r="M8" s="390"/>
      <c r="N8" s="372"/>
      <c r="O8" s="129" t="s">
        <v>229</v>
      </c>
      <c r="P8" s="290"/>
      <c r="Q8" s="431" t="s">
        <v>295</v>
      </c>
      <c r="R8" s="432"/>
      <c r="S8" s="292">
        <v>1</v>
      </c>
      <c r="U8" s="424"/>
      <c r="V8" s="424"/>
      <c r="W8" s="424"/>
      <c r="X8" s="424"/>
    </row>
    <row r="9" spans="1:24" ht="22" customHeight="1" outlineLevel="1" thickTop="1" thickBot="1" x14ac:dyDescent="0.55000000000000004">
      <c r="A9" s="65"/>
      <c r="B9" s="392" t="str">
        <f ca="1" xml:space="preserve"> IFERROR(IF(AND(D_Fijos=_OK,IFERROR(_xlfn.FORMULATEXT(Nombre_Datos),"")="=Dato_FTP"),IF(N_Preg_FTP_Inicial=N_Preg_FTP,
            "EXPORTAR PROBLEMAS DE HOJA -- DATOS FIJOS -- A PATIR DEL PROBLEMA: "&amp; N_Ini_D_FIjos,"DEBES ESCRIBIR en la celda 
Nº Ini Prg. FTP = "&amp;N_Preg_FTP),
  IF(AND(D_Fijos=_OK,COUNTA(T_D_FIJOS[NOMBRE])&gt;0,Nombre_Datos=""),
            "DEBES SELECCIONAR UNA ESTRUCTURA CORRECTA DE LA LISTA: 
DATOS FIJOS",
    IF(AND(COUNTA(T_D_FIJOS[NOMBRE])=0,D_Fijos=_OK),"NO HAY DATOS EN LA HOJA DATOS FIJOS",
  IF(D_Fijos=_OK,Nombre_Datos,Nombre_Variable)))),"HAY ALGÚN ERROR, REVISA LOS DATOS")</f>
        <v>Cerchas  - 4m-30°60mm-redondo macizoBCC S235-3</v>
      </c>
      <c r="C9" s="393"/>
      <c r="D9" s="393"/>
      <c r="E9" s="393"/>
      <c r="F9" s="393"/>
      <c r="G9" s="393"/>
      <c r="H9" s="393"/>
      <c r="I9" s="393"/>
      <c r="J9" s="393"/>
      <c r="K9" s="393"/>
      <c r="L9" s="393"/>
      <c r="M9" s="393"/>
      <c r="N9" s="65"/>
      <c r="O9" s="306" t="s">
        <v>39</v>
      </c>
      <c r="P9" s="421" t="s">
        <v>307</v>
      </c>
      <c r="Q9" s="421"/>
      <c r="R9" s="421" t="s">
        <v>308</v>
      </c>
      <c r="S9" s="421"/>
    </row>
    <row r="10" spans="1:24" ht="20" customHeight="1" outlineLevel="1" thickTop="1" thickBot="1" x14ac:dyDescent="0.55000000000000004">
      <c r="B10" s="393"/>
      <c r="C10" s="393"/>
      <c r="D10" s="393"/>
      <c r="E10" s="393"/>
      <c r="F10" s="393"/>
      <c r="G10" s="393"/>
      <c r="H10" s="393"/>
      <c r="I10" s="393"/>
      <c r="J10" s="393"/>
      <c r="K10" s="393"/>
      <c r="L10" s="393"/>
      <c r="M10" s="393"/>
      <c r="O10" s="306" t="s">
        <v>306</v>
      </c>
      <c r="P10" s="421" t="s">
        <v>309</v>
      </c>
      <c r="Q10" s="421"/>
      <c r="R10" s="421" t="s">
        <v>310</v>
      </c>
      <c r="S10" s="421"/>
    </row>
    <row r="11" spans="1:24" ht="16.350000000000001" outlineLevel="2" thickTop="1" thickBot="1" x14ac:dyDescent="0.55000000000000004">
      <c r="B11" s="1" t="s">
        <v>0</v>
      </c>
      <c r="O11" s="436" t="s">
        <v>321</v>
      </c>
      <c r="P11" s="436"/>
      <c r="Q11" s="436"/>
      <c r="R11" s="436"/>
      <c r="S11" s="436"/>
    </row>
    <row r="12" spans="1:24" ht="14.7" outlineLevel="2" thickTop="1" x14ac:dyDescent="0.5">
      <c r="C12" s="6" t="s">
        <v>3</v>
      </c>
      <c r="D12" s="389">
        <f>IFERROR(L_Ale,"")</f>
        <v>4</v>
      </c>
      <c r="E12" s="389"/>
      <c r="G12" s="63" t="s">
        <v>111</v>
      </c>
      <c r="H12" s="160" t="str">
        <f>IFERROR(Ap_1_h_Ale,"")</f>
        <v>C</v>
      </c>
      <c r="I12" s="110" t="s">
        <v>5</v>
      </c>
      <c r="J12" s="391">
        <f>IFERROR(IF(D_Fijos=_OK,VLOOKUP(Nombre_Datos,T_D_FIJOS[[NOMBRE]:[Ph E]],HLOOKUP(I12,'DATOS FIJOS'!$1:$2,2,0),0),d_Ale),"")</f>
        <v>60</v>
      </c>
      <c r="K12" s="391"/>
      <c r="O12" s="419" t="s">
        <v>311</v>
      </c>
      <c r="P12" s="419"/>
      <c r="Q12" s="419"/>
      <c r="R12" s="419"/>
      <c r="S12" s="419"/>
    </row>
    <row r="13" spans="1:24" outlineLevel="2" x14ac:dyDescent="0.5">
      <c r="C13" s="6" t="s">
        <v>4</v>
      </c>
      <c r="D13" s="389">
        <f>IFERROR(h_Ale,"")</f>
        <v>1.1547005383792515</v>
      </c>
      <c r="E13" s="389"/>
      <c r="G13" s="63" t="s">
        <v>110</v>
      </c>
      <c r="H13" s="160" t="str">
        <f>IFERROR(IF(Ap_1_h_Ale=Ap_2_v_Ale,Ap_1_v_Ale,Ap_2_v_Ale),"")</f>
        <v>B</v>
      </c>
      <c r="O13" s="420"/>
      <c r="P13" s="420"/>
      <c r="Q13" s="420"/>
      <c r="R13" s="420"/>
      <c r="S13" s="420"/>
    </row>
    <row r="14" spans="1:24" outlineLevel="2" x14ac:dyDescent="0.5"/>
    <row r="15" spans="1:24" outlineLevel="2" x14ac:dyDescent="0.5">
      <c r="M15" s="123"/>
    </row>
    <row r="16" spans="1:24" ht="14.7" outlineLevel="2" thickBot="1" x14ac:dyDescent="0.55000000000000004">
      <c r="M16" s="123"/>
    </row>
    <row r="17" spans="2:22" ht="14.7" outlineLevel="2" thickBot="1" x14ac:dyDescent="0.55000000000000004">
      <c r="M17" s="123"/>
      <c r="O17" s="320"/>
      <c r="T17" s="323" t="s">
        <v>334</v>
      </c>
      <c r="U17" s="324"/>
      <c r="V17" s="325" t="str">
        <f ca="1">"d def = "&amp;d_DEF</f>
        <v>d def = 108</v>
      </c>
    </row>
    <row r="18" spans="2:22" outlineLevel="2" x14ac:dyDescent="0.5">
      <c r="M18" s="123"/>
      <c r="T18" s="19">
        <f>IF(s_&lt;=Acero_Ale,s_,0)</f>
        <v>219.14574630800044</v>
      </c>
      <c r="U18" t="s">
        <v>326</v>
      </c>
      <c r="V18" s="16"/>
    </row>
    <row r="19" spans="2:22" outlineLevel="2" x14ac:dyDescent="0.5">
      <c r="M19" s="123"/>
      <c r="T19" s="19">
        <f>IF(L76&lt;=Acero_Ale,L76,0)</f>
        <v>0</v>
      </c>
      <c r="U19" t="s">
        <v>75</v>
      </c>
      <c r="V19" s="16"/>
    </row>
    <row r="20" spans="2:22" outlineLevel="2" x14ac:dyDescent="0.5">
      <c r="M20" s="123"/>
      <c r="T20" s="19">
        <f ca="1">IF(AND(C83=d_DEF,H86&lt;=Acero_Ale),H86,0)</f>
        <v>0</v>
      </c>
      <c r="U20" t="s">
        <v>328</v>
      </c>
      <c r="V20" s="16"/>
    </row>
    <row r="21" spans="2:22" outlineLevel="2" x14ac:dyDescent="0.5">
      <c r="T21" s="19">
        <f ca="1">IF(AND(C89=d_DEF,H92&lt;=Acero_Ale),H92,0)</f>
        <v>0</v>
      </c>
      <c r="U21" t="s">
        <v>329</v>
      </c>
      <c r="V21" s="16"/>
    </row>
    <row r="22" spans="2:22" outlineLevel="2" x14ac:dyDescent="0.5">
      <c r="T22" s="19">
        <f ca="1">IF(AND(C94=d_DEF,H97&lt;=Acero_Ale),H97,0)</f>
        <v>234.70238879282766</v>
      </c>
      <c r="U22" t="s">
        <v>330</v>
      </c>
      <c r="V22" s="16"/>
    </row>
    <row r="23" spans="2:22" outlineLevel="2" x14ac:dyDescent="0.5">
      <c r="T23" s="19">
        <f ca="1">IF(AND(C101=d_DEF,H105&lt;=Acero_Ale),H105,0)</f>
        <v>234.70238879282766</v>
      </c>
      <c r="U23" t="s">
        <v>331</v>
      </c>
      <c r="V23" s="16"/>
    </row>
    <row r="24" spans="2:22" outlineLevel="2" x14ac:dyDescent="0.5">
      <c r="T24" s="19">
        <f ca="1">IF(AND(C110=d_DEF,H113&lt;=Acero_Ale),H113,0)</f>
        <v>234.70238879282766</v>
      </c>
      <c r="U24" t="s">
        <v>332</v>
      </c>
      <c r="V24" s="16"/>
    </row>
    <row r="25" spans="2:22" ht="12.35" customHeight="1" outlineLevel="2" thickBot="1" x14ac:dyDescent="0.55000000000000004">
      <c r="T25" s="15">
        <f ca="1">IF(H119&lt;=Acero_Ale,H119,0)</f>
        <v>234.70238879282766</v>
      </c>
      <c r="U25" s="20" t="s">
        <v>333</v>
      </c>
      <c r="V25" s="21"/>
    </row>
    <row r="26" spans="2:22" ht="11" customHeight="1" x14ac:dyDescent="0.5"/>
    <row r="27" spans="2:22" ht="15" customHeight="1" outlineLevel="1" x14ac:dyDescent="0.5">
      <c r="B27" s="388" t="str">
        <f>Preg_1</f>
        <v>1) Las Reacciones en los apoyos (con dos decimales y en valor absoluto) y su dirección.</v>
      </c>
      <c r="C27" s="388"/>
      <c r="D27" s="388"/>
      <c r="E27" s="388"/>
      <c r="F27" s="388"/>
      <c r="G27" s="388"/>
      <c r="H27" s="388"/>
      <c r="I27" s="388"/>
      <c r="J27" s="388"/>
      <c r="K27" s="388"/>
      <c r="L27" s="388"/>
      <c r="M27" s="388"/>
    </row>
    <row r="28" spans="2:22" outlineLevel="2" x14ac:dyDescent="0.5">
      <c r="B28" s="354" t="str">
        <f>"Para calcular la reacción horizontal en el nudo "&amp;Ap_1_h_Ale&amp;", se hace sumatorio de fuerzas horizontales:"</f>
        <v>Para calcular la reacción horizontal en el nudo C, se hace sumatorio de fuerzas horizontales:</v>
      </c>
      <c r="C28" s="354"/>
      <c r="D28" s="354"/>
      <c r="E28" s="354"/>
      <c r="F28" s="354"/>
      <c r="G28" s="354"/>
      <c r="H28" s="354"/>
      <c r="I28" s="354"/>
      <c r="J28" s="354"/>
      <c r="K28" s="354"/>
      <c r="L28" s="354"/>
      <c r="M28" s="354"/>
    </row>
    <row r="29" spans="2:22" ht="29.35" customHeight="1" outlineLevel="2" x14ac:dyDescent="0.5">
      <c r="E29" s="394" t="str">
        <f>"+ Rh "&amp;Ap_Fijo&amp;" kN ("&amp;_Derecha&amp;")"&amp;IF(Ph_A&lt;&gt;0,IF(Ph_A&lt;0," − "," + ")&amp;ABS(Ph_A)&amp;"kN ","")&amp;
                                                  IF(Ph_B&lt;&gt;0,IF(Ph_B&lt;0," − "," + ")&amp;ABS(Ph_B)&amp;"kN ","")&amp;
                                                  IF(Ph_C&lt;&gt;0,IF(Ph_C&lt;0," − "," + ")&amp;ABS(Ph_C)&amp;"kN ","")&amp;
                                                  IF(Ph_D&lt;&gt;0,IF(Ph_D&lt;0," − "," + ")&amp;ABS(Ph_D)&amp;"kN ","")&amp;
                                                  IF(Ph_E&lt;&gt;0,IF(Ph_E&lt;0," − "," + ")&amp;ABS(Ph_E)&amp;"kN ","")&amp;   " = 0"</f>
        <v>+ Rh C kN (→) − 50kN  + 100kN  − 150kN  = 0</v>
      </c>
      <c r="F29" s="394"/>
      <c r="G29" s="394"/>
      <c r="H29" s="394"/>
      <c r="I29" s="394"/>
      <c r="J29" s="394"/>
      <c r="K29" s="394"/>
      <c r="L29" s="394"/>
      <c r="M29" s="394"/>
    </row>
    <row r="30" spans="2:22" outlineLevel="2" x14ac:dyDescent="0.5">
      <c r="E30" s="400" t="str">
        <f>"Rh "&amp;Ap_Fijo&amp;" = "&amp;ABS(Rh)&amp;" kN "&amp;IF(Rh&lt;&gt;0,IF(Rh&gt;0,_Derecha,IF(Rh&lt;0,_Izquierda,IF(Salto="","",Tab))),"")</f>
        <v>Rh C = 100 kN →</v>
      </c>
      <c r="F30" s="400"/>
      <c r="G30" s="400"/>
      <c r="H30" s="400"/>
      <c r="I30" s="400"/>
      <c r="J30" s="400"/>
      <c r="K30" s="400"/>
      <c r="L30" s="400"/>
      <c r="M30" s="400"/>
    </row>
    <row r="31" spans="2:22" ht="30" customHeight="1" outlineLevel="2" x14ac:dyDescent="0.5">
      <c r="B31" s="354" t="str">
        <f>"Tomamos sumatorio de momentos en el apoyo fijo "&amp;Ap_Fijo&amp;", para calcular la reacción vertical del apoyo móvil, Rv "&amp;Ap_Movil&amp;", que es la única incógnita que no pasa por "&amp;Ap_Fijo&amp;":"</f>
        <v>Tomamos sumatorio de momentos en el apoyo fijo C, para calcular la reacción vertical del apoyo móvil, Rv B, que es la única incógnita que no pasa por C:</v>
      </c>
      <c r="C31" s="354"/>
      <c r="D31" s="354"/>
      <c r="E31" s="354"/>
      <c r="F31" s="354"/>
      <c r="G31" s="354"/>
      <c r="H31" s="354"/>
      <c r="I31" s="354"/>
      <c r="J31" s="354"/>
      <c r="K31" s="354"/>
      <c r="L31" s="354"/>
      <c r="M31" s="354"/>
    </row>
    <row r="32" spans="2:22" ht="29.35" customHeight="1" outlineLevel="2" x14ac:dyDescent="0.5">
      <c r="B32" s="179" t="str">
        <f>Ap_Fijo</f>
        <v>C</v>
      </c>
      <c r="E32" s="394" t="str">
        <f>M_Apoyo_Fijo</f>
        <v>Rv B kN (↑) · 4m  − 100kN · 8m  − 100kN · 6m  + 150kN · 2m  + 50kN · 1,15m = 0</v>
      </c>
      <c r="F32" s="394"/>
      <c r="G32" s="394"/>
      <c r="H32" s="394"/>
      <c r="I32" s="394"/>
      <c r="J32" s="394"/>
      <c r="K32" s="394"/>
      <c r="L32" s="394"/>
      <c r="M32" s="394"/>
    </row>
    <row r="33" spans="2:21" outlineLevel="2" x14ac:dyDescent="0.5">
      <c r="E33" s="400" t="str">
        <f ca="1">R_Movil</f>
        <v>Rv B = 260,57 kN ↓</v>
      </c>
      <c r="F33" s="400"/>
      <c r="G33" s="400"/>
      <c r="H33" s="400"/>
      <c r="I33" s="400"/>
      <c r="J33" s="400"/>
      <c r="K33" s="400"/>
      <c r="L33" s="400"/>
      <c r="M33" s="400"/>
    </row>
    <row r="34" spans="2:21" outlineLevel="2" x14ac:dyDescent="0.5">
      <c r="B34" s="354" t="str">
        <f>"Tomamos sumatorio de fuerzas verticales para calcular la reacción vertical del apoyo fijo, Rv "&amp;Ap_Fijo&amp;":"</f>
        <v>Tomamos sumatorio de fuerzas verticales para calcular la reacción vertical del apoyo fijo, Rv C:</v>
      </c>
      <c r="C34" s="354"/>
      <c r="D34" s="354"/>
      <c r="E34" s="354"/>
      <c r="F34" s="354"/>
      <c r="G34" s="354"/>
      <c r="H34" s="354"/>
      <c r="I34" s="354"/>
      <c r="J34" s="354"/>
      <c r="K34" s="354"/>
      <c r="L34" s="354"/>
      <c r="M34" s="354"/>
    </row>
    <row r="35" spans="2:21" ht="25.7" customHeight="1" outlineLevel="2" x14ac:dyDescent="0.5">
      <c r="B35" s="73"/>
      <c r="C35" s="72"/>
      <c r="E35" s="394" t="str" cm="1">
        <f t="array" aca="1" ref="E35" ca="1">"+ Rv "&amp;Ap_Fijo&amp;" kN  ("&amp;_Arriba&amp;")"&amp;IF(Pv_A&lt;&gt;0,IF(Pv_A&lt;0," − "," + ")&amp;ABS(Pv_A)&amp;"kN ","")&amp;
                                                 IF(Pv_B&lt;&gt;0,IF(Pv_B&lt;0," − "," + ")&amp;ABS(Pv_B)&amp;"kN ","")&amp;
                                                 IF(Pv_C&lt;&gt;0,IF(Pv_C&lt;0," − "," + ")&amp;ABS(Pv_C)&amp;"kN ","")&amp;
                                                 IF(Pv_D&lt;&gt;0,IF(Pv_D&lt;0," − "," + ")&amp;ABS(Pv_D)&amp;"kN ","")&amp;
                                                 IF(Pv_E&lt;&gt;0,IF(Pv_E&lt;0," − "," + ")&amp;ABS(Pv_E)&amp;"kN ","")&amp;
IF(INDIRECT("Rv_"&amp;Ap_Movil)&lt;&gt;0,IF(INDIRECT("Rv_"&amp;Ap_Movil)&lt;0," − "," + ")&amp;ABS(INDIRECT("Rv_"&amp;Ap_Movil))&amp;"kN = 0","")</f>
        <v>+ Rv C kN  (↑) + 100kN  + 100kN  − 150kN  − 260,57kN = 0</v>
      </c>
      <c r="F35" s="394"/>
      <c r="G35" s="394"/>
      <c r="H35" s="394"/>
      <c r="I35" s="394"/>
      <c r="J35" s="394"/>
      <c r="K35" s="394"/>
      <c r="L35" s="394"/>
      <c r="M35" s="394"/>
    </row>
    <row r="36" spans="2:21" ht="19" customHeight="1" outlineLevel="2" x14ac:dyDescent="0.5">
      <c r="B36" s="73"/>
      <c r="C36" s="72"/>
      <c r="D36" s="401" t="str" cm="1">
        <f t="array" aca="1" ref="D36" ca="1">"Rv "&amp;Ap_Fijo&amp;" = "&amp;ABS(INDIRECT("Rv_"&amp;Ap_Fijo))&amp;" kN "&amp;IF(INDIRECT("Rv_"&amp;Ap_Fijo)&lt;&gt;0,IF(INDIRECT("Rv_"&amp;Ap_Fijo)&gt;0,_Arriba,IF(INDIRECT("Rv_"&amp;Ap_Fijo)&lt;0,_Abajo,IF(Salto="","",Tab))),"")</f>
        <v>Rv C = 210,57 kN ↑</v>
      </c>
      <c r="E36" s="401"/>
      <c r="F36" s="401"/>
      <c r="G36" s="401"/>
      <c r="H36" s="401"/>
      <c r="I36" s="401"/>
      <c r="J36" s="401"/>
      <c r="K36" s="401"/>
      <c r="L36" s="401"/>
      <c r="M36" s="401"/>
    </row>
    <row r="37" spans="2:21" outlineLevel="1" x14ac:dyDescent="0.5">
      <c r="B37" s="388" t="str">
        <f>Preg_2</f>
        <v>2) Los esfuerzos a los que está sometida cada barra (con dos decimales y en valor absoluto).</v>
      </c>
      <c r="C37" s="388"/>
      <c r="D37" s="388"/>
      <c r="E37" s="388"/>
      <c r="F37" s="388"/>
      <c r="G37" s="388"/>
      <c r="H37" s="388"/>
      <c r="I37" s="388"/>
      <c r="J37" s="388"/>
      <c r="K37" s="388"/>
      <c r="L37" s="388"/>
      <c r="M37" s="388"/>
    </row>
    <row r="38" spans="2:21" ht="39.700000000000003" customHeight="1" outlineLevel="2" x14ac:dyDescent="0.5">
      <c r="B38" s="398" t="s">
        <v>141</v>
      </c>
      <c r="C38" s="398"/>
      <c r="D38" s="398"/>
      <c r="E38" s="398"/>
      <c r="F38" s="398"/>
      <c r="G38" s="398"/>
      <c r="H38" s="398"/>
      <c r="I38" s="398"/>
      <c r="J38" s="398"/>
      <c r="K38" s="398"/>
      <c r="L38" s="398"/>
      <c r="M38" s="398"/>
    </row>
    <row r="39" spans="2:21" ht="30" customHeight="1" outlineLevel="3" x14ac:dyDescent="0.5">
      <c r="C39" s="63"/>
      <c r="D39" s="101" t="s">
        <v>133</v>
      </c>
      <c r="E39" s="395" t="str">
        <f>"kN · Sen("&amp;alfa_Ver&amp;") "&amp; IF(Pv_A&lt;&gt;0,IF(Pv_A&gt;0," + "," − ")&amp;ABS(Pv_A)&amp;"kN","") &amp;
                                                        IF(Rv_A&lt;&gt;0,IF(Rv_A&gt;0," + "," − ")&amp;ABS(Rv_A)&amp;"kN","") &amp;" = 0   ⇒"</f>
        <v>kN · Sen(30°)  + 100kN = 0   ⇒</v>
      </c>
      <c r="F39" s="395"/>
      <c r="G39" s="395"/>
      <c r="H39" s="395"/>
      <c r="I39" s="395"/>
      <c r="J39" s="395"/>
      <c r="K39" s="395"/>
      <c r="L39" s="116" t="s">
        <v>145</v>
      </c>
      <c r="M39" s="180">
        <f>-(Pv_A+Rv_A)/SIN(alfa_rad)</f>
        <v>-200.00000000000003</v>
      </c>
      <c r="N39" s="103"/>
    </row>
    <row r="40" spans="2:21" ht="30" customHeight="1" outlineLevel="3" x14ac:dyDescent="0.5">
      <c r="C40" s="63"/>
      <c r="D40" s="101" t="s">
        <v>134</v>
      </c>
      <c r="E40" s="395" t="str">
        <f>"kN "&amp;IF(T_AD&lt;&gt;0,IF(T_AD&gt;0," + "," − ")&amp;ABS(ROUND(T_AD,2))&amp;"kN"&amp;" Cos("&amp;alfa_Ver&amp;") ","")&amp;
                                      IF(Ph_A&lt;&gt;0,IF(Ph_A&gt;0," + "," − ")&amp;ABS(Ph_A)&amp;"kN","") &amp;
                                      IF(Rh_A&lt;&gt;0,IF(Rh_A&gt;0," + "," − ")&amp;ABS(Rh_A)&amp;"kN","") &amp;" = 0   ⇒"</f>
        <v>kN  − 200kN Cos(30°)  − 50kN = 0   ⇒</v>
      </c>
      <c r="F40" s="395"/>
      <c r="G40" s="395"/>
      <c r="H40" s="395"/>
      <c r="I40" s="395"/>
      <c r="J40" s="395"/>
      <c r="K40" s="395"/>
      <c r="L40" s="116" t="s">
        <v>146</v>
      </c>
      <c r="M40" s="180">
        <f>-(Ph_A+Rh_A+T_AD*COS(alfa_rad))</f>
        <v>223.20508075688775</v>
      </c>
      <c r="S40" s="111"/>
    </row>
    <row r="41" spans="2:21" ht="30" customHeight="1" outlineLevel="3" x14ac:dyDescent="0.65">
      <c r="D41" s="61" t="s">
        <v>135</v>
      </c>
      <c r="E41" s="415" t="str">
        <f>TEXT(ABS(ROUND(T_AD,2)),"#.##0,00")&amp;" kN "&amp;IF(ROUND(T_AD,2)&lt;&gt;0,IF(T_AD&gt;0,_Tracc,_Compr),IF(Salto="","         ",Tab))</f>
        <v>200,00 kN → ←</v>
      </c>
      <c r="F41" s="415"/>
      <c r="G41" s="415"/>
      <c r="H41" s="85"/>
      <c r="I41" s="85"/>
      <c r="J41" s="85"/>
      <c r="K41" s="85"/>
      <c r="L41" s="85"/>
      <c r="M41" s="85"/>
    </row>
    <row r="42" spans="2:21" ht="31" customHeight="1" outlineLevel="3" x14ac:dyDescent="0.5">
      <c r="C42" s="63"/>
      <c r="D42" s="98" t="s">
        <v>136</v>
      </c>
      <c r="E42" s="399" t="str">
        <f>TEXT(ABS(ROUND(T_AB,2)),"#.##0,00")&amp;" kN "&amp;IF(ROUND(T_AB,2)&lt;&gt;0,IF(T_AB&gt;0,_Tracc,_Compr),IF(Salto="","         ",Tab))</f>
        <v>223,21 kN ← →</v>
      </c>
      <c r="F42" s="399"/>
      <c r="G42" s="399"/>
      <c r="I42" s="85"/>
      <c r="J42" s="85"/>
      <c r="K42" s="85"/>
    </row>
    <row r="43" spans="2:21" ht="38.700000000000003" customHeight="1" outlineLevel="2" x14ac:dyDescent="0.5">
      <c r="B43" s="398" t="s">
        <v>200</v>
      </c>
      <c r="C43" s="398"/>
      <c r="D43" s="398"/>
      <c r="E43" s="398"/>
      <c r="F43" s="398"/>
      <c r="G43" s="398"/>
      <c r="H43" s="398"/>
      <c r="I43" s="398"/>
      <c r="J43" s="398"/>
      <c r="K43" s="398"/>
      <c r="L43" s="398"/>
      <c r="M43" s="398"/>
    </row>
    <row r="44" spans="2:21" ht="30" customHeight="1" outlineLevel="3" x14ac:dyDescent="0.5">
      <c r="C44" s="63"/>
      <c r="D44" s="101" t="s">
        <v>137</v>
      </c>
      <c r="E44" s="395" t="str">
        <f>"kN · Sen("&amp;alfa_Ver&amp;") "&amp; IF(Pv_C&lt;&gt;0,IF(Pv_C&gt;0," + "," − ")&amp;ABS(Pv_C)&amp;"kN","") &amp;
                                                        IF(Rv_C&lt;&gt;0,IF(Rv_C&gt;0," + "," − ")&amp;ABS(Rv_C)&amp;"kN","") &amp;" = 0   ⇒"</f>
        <v>kN · Sen(30°)  + 210,57kN = 0   ⇒</v>
      </c>
      <c r="F44" s="395"/>
      <c r="G44" s="395"/>
      <c r="H44" s="395"/>
      <c r="I44" s="395"/>
      <c r="J44" s="395"/>
      <c r="K44" s="395"/>
      <c r="L44" s="116" t="s">
        <v>147</v>
      </c>
      <c r="M44" s="180">
        <f>-(Pv_C+Rv_C)/SIN(alfa_rad)</f>
        <v>-421.14000000000004</v>
      </c>
      <c r="N44" s="103"/>
    </row>
    <row r="45" spans="2:21" ht="30" customHeight="1" outlineLevel="3" x14ac:dyDescent="0.5">
      <c r="C45" s="63"/>
      <c r="D45" s="101" t="s">
        <v>140</v>
      </c>
      <c r="E45" s="395" t="str">
        <f>"kN "&amp;IF(T_CE&lt;&gt;0,IF(T_CE&lt;0," + "," − ")&amp;ABS(ROUND(T_CE,2))&amp;"kN"&amp;" Cos("&amp;alfa_Ver&amp;") ","")&amp;
                                      IF(Ph_C&lt;&gt;0,IF(Ph_C&gt;0," + "," − ")&amp;ABS(Ph_C)&amp;"kN","") &amp;
                                      IF(Rh_C&lt;&gt;0,IF(Rh_C&gt;0," + "," − ")&amp;ABS(Rh_C)&amp;"kN","") &amp;" = 0   ⇒"</f>
        <v>kN  + 421,14kN Cos(30°)  + 100kN = 0   ⇒</v>
      </c>
      <c r="F45" s="395"/>
      <c r="G45" s="395"/>
      <c r="H45" s="395"/>
      <c r="I45" s="395"/>
      <c r="J45" s="395"/>
      <c r="K45" s="395"/>
      <c r="L45" s="116" t="s">
        <v>148</v>
      </c>
      <c r="M45" s="180">
        <f>+Ph_C+Rh_C-T_CE*COS(alfa_rad)</f>
        <v>464.71793854977858</v>
      </c>
      <c r="N45" s="103"/>
    </row>
    <row r="46" spans="2:21" ht="30" customHeight="1" outlineLevel="3" x14ac:dyDescent="0.65">
      <c r="D46" s="61" t="s">
        <v>138</v>
      </c>
      <c r="E46" s="396" t="str">
        <f>TEXT(ABS(ROUND(T_CE,2)),"#.##0,00")&amp;" kN "&amp;IF(ROUND(T_CE,2)&lt;&gt;0,IF(T_CE&gt;0,_Tracc,_Compr),IF(Salto="","         ",Tab))</f>
        <v>421,14 kN → ←</v>
      </c>
      <c r="F46" s="396"/>
      <c r="G46" s="396"/>
      <c r="H46" s="85"/>
      <c r="I46" s="85"/>
      <c r="J46" s="85"/>
      <c r="K46" s="85"/>
      <c r="L46" s="85"/>
      <c r="M46" s="85"/>
    </row>
    <row r="47" spans="2:21" ht="31" customHeight="1" outlineLevel="3" x14ac:dyDescent="0.5">
      <c r="C47" s="63"/>
      <c r="D47" s="98" t="s">
        <v>139</v>
      </c>
      <c r="E47" s="397" t="str">
        <f>TEXT(ABS(ROUND(T_CB,2)),"#.##0,00")&amp;" kN "&amp;IF(T_CB&lt;&gt;0,IF(ROUND(T_CB,2)&gt;0,_Tracc,_Compr),IF(Salto="","         ",Tab))</f>
        <v>464,72 kN ← →</v>
      </c>
      <c r="F47" s="397"/>
      <c r="G47" s="397"/>
      <c r="I47" s="85"/>
      <c r="J47" s="85"/>
      <c r="K47" s="85"/>
      <c r="U47" t="str">
        <f>"kN"&amp;IF(T_AD&lt;&gt;0,IF(T_AD&lt;0," + "," − ")&amp;ABS(ROUND(T_AD,2))&amp;"kN Cos("&amp;alfa_Ver&amp;")","")&amp;
IF(T_DB&lt;&gt;0,IF(T_DB&gt;0," + "," − ")&amp;ABS(ROUND(T_DB,2))&amp;"kN Cos("&amp;alfa_Ver&amp;")","")&amp;
IF(Ph_D&lt;&gt;0,IF(Ph_D&gt;0," + "," − ")&amp;ABS(Ph_D)&amp;"kN","")&amp;
IF(Rh_D&lt;&gt;0,IF(Rh_D&gt;0," + "," − ")&amp;ABS(Rh_D)&amp;"kN","")</f>
        <v>kN + 200kN Cos(30°) + 400kN Cos(30°) + 100kN</v>
      </c>
    </row>
    <row r="48" spans="2:21" ht="40" customHeight="1" outlineLevel="2" x14ac:dyDescent="0.5">
      <c r="B48" s="398" t="s">
        <v>239</v>
      </c>
      <c r="C48" s="398"/>
      <c r="D48" s="398"/>
      <c r="E48" s="398"/>
      <c r="F48" s="398"/>
      <c r="G48" s="398"/>
      <c r="H48" s="398"/>
      <c r="I48" s="398"/>
      <c r="J48" s="398"/>
      <c r="K48" s="398"/>
      <c r="L48" s="398"/>
      <c r="M48" s="398"/>
    </row>
    <row r="49" spans="2:21" ht="30" customHeight="1" outlineLevel="3" x14ac:dyDescent="0.5">
      <c r="C49" s="63"/>
      <c r="D49" s="145" t="s">
        <v>142</v>
      </c>
      <c r="E49" s="395" t="str">
        <f>"kN · Sen("&amp;alfa_Ver&amp;") "&amp; IF(Pv_D&lt;&gt;0,IF(Pv_D&gt;0," + "," − ")&amp;ABS(Pv_D)&amp;"kN","") &amp;
                                                        IF(Rv_D&lt;&gt;0,IF(Rv_D&gt;0," + "," − ")&amp;ABS(Rv_D)&amp;"kN","") &amp;
                                                        IF(T_AD&lt;&gt;0,IF(T_AD&lt;0," + "," − ")&amp;ROUND(ABS(T_AD*SIN(alfa_rad)),2)&amp;"kN","") &amp;" = 0   ⇒"</f>
        <v>kN · Sen(30°)  + 100kN + 100kN = 0   ⇒</v>
      </c>
      <c r="F49" s="395"/>
      <c r="G49" s="395"/>
      <c r="H49" s="395"/>
      <c r="I49" s="395"/>
      <c r="J49" s="395"/>
      <c r="K49" s="395"/>
      <c r="L49" s="116" t="s">
        <v>149</v>
      </c>
      <c r="M49" s="180">
        <f>+(Pv_D+Rv_D-T_AD*SIN(alfa_rad))/SIN(alfa_rad)</f>
        <v>400.00000000000006</v>
      </c>
      <c r="N49" s="103"/>
      <c r="R49" s="151"/>
    </row>
    <row r="50" spans="2:21" ht="30" customHeight="1" outlineLevel="3" x14ac:dyDescent="0.65">
      <c r="C50" s="63"/>
      <c r="D50" s="145" t="s">
        <v>238</v>
      </c>
      <c r="E50" s="395" t="str">
        <f>Todo&amp;IF(LEN(Todo)&lt;=40," = 0
 "       &amp;REPT(" ",80),                  IF(LEN(Todo)&lt;=45,"
  = 0"&amp;REPT(" ",75)," = 0 "&amp;REPT(" ",110-LEN(Todo))))&amp;" ⇒"</f>
        <v>kN + 200kN Cos(30°) + 400kN Cos(30°) + 100kN
  = 0                                                                            ⇒</v>
      </c>
      <c r="F50" s="395"/>
      <c r="G50" s="395"/>
      <c r="H50" s="395"/>
      <c r="I50" s="395"/>
      <c r="J50" s="395"/>
      <c r="K50" s="395"/>
      <c r="L50" s="152" t="s">
        <v>150</v>
      </c>
      <c r="M50" s="181">
        <f>-(+Ph_D+Rh_D-T_AD*COS(alfa_rad)+T_DB*COS(alfa_rad))</f>
        <v>-619.6152422706632</v>
      </c>
      <c r="N50" s="103"/>
      <c r="P50" s="151"/>
    </row>
    <row r="51" spans="2:21" ht="30" customHeight="1" outlineLevel="3" x14ac:dyDescent="0.65">
      <c r="D51" s="61" t="s">
        <v>143</v>
      </c>
      <c r="E51" s="396" t="str">
        <f>TEXT(ABS(ROUND(T_DB,2)),"#.##0,00")&amp;" kN "&amp;IF(ROUND(T_DB,2)&lt;&gt;0,IF(T_DB&gt;0,_Tracc,_Compr),IF(Salto="","         ",Tab))</f>
        <v>400,00 kN ← →</v>
      </c>
      <c r="F51" s="396"/>
      <c r="G51" s="396"/>
      <c r="H51" s="85"/>
      <c r="I51" s="85"/>
      <c r="J51" s="85"/>
      <c r="K51" s="85"/>
      <c r="L51" s="85"/>
      <c r="M51" s="85"/>
    </row>
    <row r="52" spans="2:21" ht="31" customHeight="1" outlineLevel="3" x14ac:dyDescent="0.5">
      <c r="C52" s="63"/>
      <c r="D52" s="98" t="s">
        <v>144</v>
      </c>
      <c r="E52" s="397" t="str">
        <f>TEXT(ABS(ROUND(T_DE,2)),"#.##0,00")&amp;" kN "&amp;IF(ROUND(T_DE,2)&lt;&gt;0,IF(T_DE&gt;0,_Tracc,_Compr),IF(Salto="","         ",Tab))</f>
        <v>619,62 kN → ←</v>
      </c>
      <c r="F52" s="397"/>
      <c r="G52" s="397"/>
      <c r="I52" s="85"/>
      <c r="J52" s="85"/>
      <c r="K52" s="85"/>
    </row>
    <row r="53" spans="2:21" ht="36.35" customHeight="1" outlineLevel="2" x14ac:dyDescent="0.5">
      <c r="B53" s="398" t="s">
        <v>151</v>
      </c>
      <c r="C53" s="398"/>
      <c r="D53" s="398"/>
      <c r="E53" s="398"/>
      <c r="F53" s="398"/>
      <c r="G53" s="398"/>
      <c r="H53" s="398"/>
      <c r="I53" s="398"/>
      <c r="J53" s="398"/>
      <c r="K53" s="398"/>
      <c r="L53" s="398"/>
      <c r="M53" s="398"/>
    </row>
    <row r="54" spans="2:21" ht="30" customHeight="1" outlineLevel="3" x14ac:dyDescent="0.5">
      <c r="C54" s="63"/>
      <c r="D54" s="101" t="s">
        <v>152</v>
      </c>
      <c r="E54" s="395" t="str">
        <f>"kN · Sen("&amp;alfa_Ver&amp;") "&amp; IF(Pv_E&lt;&gt;0,IF(Pv_E&gt;0," + "," − ")&amp;ABS(Pv_E)&amp;"kN","") &amp;
                                                        IF(Rv_E&lt;&gt;0,IF(Rv_E&gt;0," + "," − ")&amp;ABS(Rv_E)&amp;"kN","") &amp;
                                                        IF(T_CE&lt;&gt;0,IF(T_CE&lt;0," + "," − ")&amp;ROUND(ABS(T_CE*SIN(alfa_rad)),2)&amp;"kN","") &amp;" = 0   ⇒"</f>
        <v>kN · Sen(30°)  − 150kN + 210,57kN = 0   ⇒</v>
      </c>
      <c r="F54" s="395"/>
      <c r="G54" s="395"/>
      <c r="H54" s="395"/>
      <c r="I54" s="395"/>
      <c r="J54" s="395"/>
      <c r="K54" s="395"/>
      <c r="L54" s="116" t="s">
        <v>153</v>
      </c>
      <c r="M54" s="180">
        <f>+(Pv_E+Rv_E-T_CE*SIN(alfa_rad))/SIN(alfa_rad)</f>
        <v>121.14</v>
      </c>
      <c r="N54" s="103"/>
    </row>
    <row r="55" spans="2:21" ht="30" customHeight="1" outlineLevel="3" x14ac:dyDescent="0.65">
      <c r="D55" s="61" t="s">
        <v>154</v>
      </c>
      <c r="E55" s="396" t="str">
        <f>TEXT(ABS(ROUND(T_BE,2)),"#.##0,00")&amp;" kN "&amp;IF(ROUND(T_BE,2)&lt;&gt;0,IF(T_BE&gt;0,_Tracc,_Compr),IF(Salto="","         ",Tab))</f>
        <v>121,14 kN ← →</v>
      </c>
      <c r="F55" s="396"/>
      <c r="G55" s="396"/>
      <c r="H55" s="85"/>
      <c r="I55" s="85"/>
      <c r="J55" s="85"/>
      <c r="K55" s="85"/>
      <c r="L55" s="85"/>
      <c r="M55" s="85"/>
      <c r="T55">
        <f ca="1">IF(H105&lt;=Acero_Ale,H105,0)</f>
        <v>234.70238879282766</v>
      </c>
    </row>
    <row r="56" spans="2:21" outlineLevel="3" x14ac:dyDescent="0.5">
      <c r="C56" s="63"/>
      <c r="D56" s="63"/>
      <c r="E56" s="63"/>
      <c r="F56" s="63"/>
      <c r="G56" s="63"/>
      <c r="H56" s="63"/>
      <c r="I56" s="85"/>
      <c r="J56" s="85"/>
      <c r="K56" s="85"/>
    </row>
    <row r="57" spans="2:21" ht="20.7" customHeight="1" outlineLevel="2" x14ac:dyDescent="0.5">
      <c r="C57" s="63"/>
      <c r="D57" s="98"/>
      <c r="E57" s="100"/>
      <c r="F57" s="100"/>
      <c r="G57" s="100"/>
      <c r="I57" s="85"/>
      <c r="J57" s="85"/>
      <c r="K57" s="85"/>
      <c r="T57">
        <f ca="1">IF(H119&lt;=Acero_Ale,H119,0)</f>
        <v>234.70238879282766</v>
      </c>
      <c r="U57" t="s">
        <v>327</v>
      </c>
    </row>
    <row r="58" spans="2:21" ht="30" customHeight="1" outlineLevel="1" x14ac:dyDescent="0.5">
      <c r="B58" s="388" t="str">
        <f>Preg_3</f>
        <v>3) La tensión máxima de la estructura (con un decimal, en valor absoluto), sin tener en cuenta la esbeltez, si toda las barras tienen de sección un redondo macizo, de diámetro d =60 mm.</v>
      </c>
      <c r="C58" s="388"/>
      <c r="D58" s="388"/>
      <c r="E58" s="388"/>
      <c r="F58" s="388"/>
      <c r="G58" s="388"/>
      <c r="H58" s="388"/>
      <c r="I58" s="388"/>
      <c r="J58" s="388"/>
      <c r="K58" s="388"/>
      <c r="L58" s="388"/>
      <c r="M58" s="388"/>
    </row>
    <row r="59" spans="2:21" ht="34" customHeight="1" outlineLevel="2" x14ac:dyDescent="0.5">
      <c r="B59" s="398" t="s">
        <v>155</v>
      </c>
      <c r="C59" s="398"/>
      <c r="D59" s="398"/>
      <c r="E59" s="398"/>
      <c r="F59" s="398"/>
      <c r="G59" s="398"/>
      <c r="H59" s="398"/>
      <c r="I59" s="398"/>
      <c r="J59" s="398"/>
      <c r="K59" s="398"/>
      <c r="L59" s="398"/>
      <c r="M59" s="398"/>
    </row>
    <row r="60" spans="2:21" ht="25" customHeight="1" outlineLevel="2" x14ac:dyDescent="0.5">
      <c r="B60" s="64" t="s">
        <v>158</v>
      </c>
      <c r="C60" s="404">
        <f>MAX(C71:D77,ABS(MIN(C71:D77)))</f>
        <v>619.62</v>
      </c>
      <c r="D60" s="404"/>
      <c r="H60" s="373">
        <f>C60*1000</f>
        <v>619620</v>
      </c>
      <c r="I60" s="373"/>
      <c r="J60" s="387">
        <f>H60/Area</f>
        <v>219.14574630800044</v>
      </c>
      <c r="K60" s="387"/>
      <c r="L60" s="387"/>
    </row>
    <row r="61" spans="2:21" ht="25.7" customHeight="1" outlineLevel="2" x14ac:dyDescent="0.5">
      <c r="B61" s="101" t="s">
        <v>156</v>
      </c>
      <c r="C61" s="410">
        <f>VLOOKUP(Tipo_Seccion_Ale,T_Datos[[Seccion]:[Geom]],3,0)</f>
        <v>2827.4333882308138</v>
      </c>
      <c r="D61" s="410"/>
      <c r="H61" s="377" t="str">
        <f>IF(Tipo_Seccion_Ale=OCULTOS!$J$17,d_&amp;"²","π · "&amp;d_&amp;"² / 4")</f>
        <v>π · 60² / 4</v>
      </c>
      <c r="I61" s="377"/>
      <c r="J61" s="387"/>
      <c r="K61" s="387"/>
      <c r="L61" s="387"/>
    </row>
    <row r="62" spans="2:21" ht="47.35" customHeight="1" outlineLevel="1" x14ac:dyDescent="0.5">
      <c r="B62" s="388" t="str">
        <f>Preg_4</f>
        <v>4) El diámetro mínimo (d) necesario (para todas las barras igual, en mm y sin decimales), teniendo en cuenta la esbeltez, para que no falle ninguna barra. El material es de acero S235 y el coeficiente de imperfección es tipo c.</v>
      </c>
      <c r="C62" s="388"/>
      <c r="D62" s="388"/>
      <c r="E62" s="388"/>
      <c r="F62" s="388"/>
      <c r="G62" s="388"/>
      <c r="H62" s="388"/>
      <c r="I62" s="388"/>
      <c r="J62" s="388"/>
      <c r="K62" s="388"/>
      <c r="L62" s="388"/>
      <c r="M62" s="388"/>
    </row>
    <row r="63" spans="2:21" ht="60" customHeight="1" outlineLevel="3" x14ac:dyDescent="0.5">
      <c r="B63" s="398" t="s">
        <v>241</v>
      </c>
      <c r="C63" s="398"/>
      <c r="D63" s="398"/>
      <c r="E63" s="398"/>
      <c r="F63" s="398"/>
      <c r="G63" s="398"/>
      <c r="H63" s="398"/>
      <c r="I63" s="398"/>
      <c r="J63" s="398"/>
      <c r="K63" s="398"/>
      <c r="L63" s="398"/>
      <c r="M63" s="398"/>
    </row>
    <row r="64" spans="2:21" ht="16.350000000000001" outlineLevel="4" x14ac:dyDescent="0.5">
      <c r="B64" s="101" t="s">
        <v>162</v>
      </c>
      <c r="C64" s="403">
        <f>L_*1000</f>
        <v>4000</v>
      </c>
      <c r="D64" s="403"/>
      <c r="E64" s="5" t="s">
        <v>170</v>
      </c>
      <c r="F64" s="101" t="s">
        <v>163</v>
      </c>
      <c r="G64" s="405">
        <f>L_Diagonal*1000</f>
        <v>2309.4010767585028</v>
      </c>
      <c r="H64" s="405"/>
      <c r="I64" s="98" t="s">
        <v>171</v>
      </c>
      <c r="J64" s="409">
        <f>MAX(C64,G64)</f>
        <v>4000</v>
      </c>
      <c r="K64" s="409"/>
      <c r="L64" s="182" t="str">
        <f>IF(J64=L_*1000,"Barras Horizontales","Barras Diagonales")</f>
        <v>Barras Horizontales</v>
      </c>
    </row>
    <row r="65" spans="2:27" ht="45" customHeight="1" outlineLevel="4" x14ac:dyDescent="0.5">
      <c r="B65" s="354" t="str">
        <f>"Como no tenemos los datos de la sección, debemos calcular el radio de giro mínimo necesario, teniendo en cuenta que la esbeltez límite es λ = 250. De la fórmula del radio de giro despejamos el "&amp;D_L&amp;"."</f>
        <v>Como no tenemos los datos de la sección, debemos calcular el radio de giro mínimo necesario, teniendo en cuenta que la esbeltez límite es λ = 250. De la fórmula del radio de giro despejamos el diámetro.</v>
      </c>
      <c r="C65" s="354"/>
      <c r="D65" s="354"/>
      <c r="E65" s="354"/>
      <c r="F65" s="354"/>
      <c r="G65" s="354"/>
      <c r="H65" s="354"/>
      <c r="I65" s="354"/>
      <c r="J65" s="354"/>
      <c r="K65" s="354"/>
      <c r="L65" s="354"/>
      <c r="M65" s="354"/>
      <c r="T65" t="s">
        <v>316</v>
      </c>
    </row>
    <row r="66" spans="2:27" outlineLevel="4" collapsed="1" x14ac:dyDescent="0.5">
      <c r="G66" s="406">
        <f>J64</f>
        <v>4000</v>
      </c>
      <c r="H66" s="406"/>
      <c r="I66" s="408">
        <f>G66/G67</f>
        <v>16</v>
      </c>
      <c r="J66" s="408"/>
      <c r="M66" s="1" t="s">
        <v>182</v>
      </c>
      <c r="T66" s="312">
        <f>IF(Tipo_Seccion_Ale=OCULTOS!$J$17,12^0.5,4)+
N(TEXT("Si es circular, 4 si es cuadrado/rectángulo raiz de 12",0))</f>
        <v>4</v>
      </c>
    </row>
    <row r="67" spans="2:27" outlineLevel="4" x14ac:dyDescent="0.5">
      <c r="G67" s="407">
        <v>250</v>
      </c>
      <c r="H67" s="407"/>
      <c r="I67" s="408"/>
      <c r="J67" s="408"/>
      <c r="M67" s="183" t="str">
        <f>IF(Tipo_Seccion_Ale=OCULTOS!$J$17,"√12","   4")</f>
        <v xml:space="preserve">   4</v>
      </c>
      <c r="T67" t="s">
        <v>315</v>
      </c>
    </row>
    <row r="68" spans="2:27" ht="20.7" customHeight="1" outlineLevel="4" x14ac:dyDescent="0.5">
      <c r="D68" s="114"/>
      <c r="G68" s="64"/>
      <c r="H68" s="99"/>
      <c r="I68" s="402"/>
      <c r="J68" s="402"/>
      <c r="K68" s="117"/>
      <c r="L68" s="115" t="s">
        <v>164</v>
      </c>
      <c r="M68" s="184">
        <f>ROUNDUP(T68,0)</f>
        <v>64</v>
      </c>
      <c r="T68" s="314">
        <f>I66*T66</f>
        <v>64</v>
      </c>
      <c r="U68" s="313">
        <f>ROUNDUP(MAX(F71:G77)/d_min_esb*T66,0)</f>
        <v>250</v>
      </c>
      <c r="V68" s="311" t="s">
        <v>317</v>
      </c>
    </row>
    <row r="69" spans="2:27" ht="44.35" customHeight="1" outlineLevel="4" x14ac:dyDescent="0.5">
      <c r="B69" s="354" t="str">
        <f>"Por lo tanto, por esbeltez, el "&amp;D_L&amp;" mínimo que se debe poner es d = "&amp;TEXT(M68,"#.###")&amp;" mm. Si comparamos este dato con el del enunciado (d = "&amp;d_&amp;" mm), vemos que la sección dada en el enunciado "&amp;UPPER(T69)&amp;" es válida por esbeltez."</f>
        <v>Por lo tanto, por esbeltez, el diámetro mínimo que se debe poner es d = 64 mm. Si comparamos este dato con el del enunciado (d = 60 mm), vemos que la sección dada en el enunciado NO es válida por esbeltez.</v>
      </c>
      <c r="C69" s="354"/>
      <c r="D69" s="354"/>
      <c r="E69" s="354"/>
      <c r="F69" s="354"/>
      <c r="G69" s="354"/>
      <c r="H69" s="354"/>
      <c r="I69" s="354"/>
      <c r="J69" s="354"/>
      <c r="K69" s="354"/>
      <c r="L69" s="354"/>
      <c r="M69" s="354"/>
      <c r="T69" s="185" t="str">
        <f>IF(d_&gt;d_min_esb,_OK,_NO)</f>
        <v>No</v>
      </c>
      <c r="V69" s="351" t="s">
        <v>319</v>
      </c>
      <c r="W69" s="351"/>
      <c r="X69" s="351"/>
      <c r="Y69" s="351"/>
      <c r="Z69" s="316">
        <f>(d_min_esb^2*IF(Tipo_Seccion_Ale=OCULTOS!J17,1,PI()/4))</f>
        <v>3216.9908772759482</v>
      </c>
      <c r="AA69" s="114" t="s">
        <v>320</v>
      </c>
    </row>
    <row r="70" spans="2:27" ht="44.35" customHeight="1" outlineLevel="3" x14ac:dyDescent="0.5">
      <c r="B70" s="398" t="s">
        <v>173</v>
      </c>
      <c r="C70" s="398"/>
      <c r="D70" s="398"/>
      <c r="E70" s="398"/>
      <c r="F70" s="398"/>
      <c r="G70" s="398"/>
      <c r="H70" s="398"/>
      <c r="I70" s="398"/>
      <c r="J70" s="398"/>
      <c r="K70" s="398"/>
      <c r="L70" s="398"/>
      <c r="M70" s="398"/>
      <c r="V70" s="351" t="s">
        <v>318</v>
      </c>
      <c r="W70" s="351"/>
      <c r="X70" s="351"/>
      <c r="Y70" s="351"/>
      <c r="Z70" s="316">
        <f>ROUND(MAX(Z71:Z77),1)</f>
        <v>1627.5</v>
      </c>
      <c r="AA70" s="114" t="s">
        <v>335</v>
      </c>
    </row>
    <row r="71" spans="2:27" ht="16.350000000000001" outlineLevel="4" x14ac:dyDescent="0.65">
      <c r="B71" s="61" t="s">
        <v>135</v>
      </c>
      <c r="C71" s="367">
        <f>ROUND(T_AD,2)</f>
        <v>-200</v>
      </c>
      <c r="D71" s="367"/>
      <c r="E71" s="61" t="s">
        <v>165</v>
      </c>
      <c r="F71" s="368">
        <f>ROUND(L_Diagonal*1000,0)</f>
        <v>2309</v>
      </c>
      <c r="G71" s="368"/>
      <c r="J71" s="186" t="str">
        <f>IF(MAX(C71:C77)&gt;0,"Máx. Tracción:","No hay tracción")</f>
        <v>Máx. Tracción:</v>
      </c>
      <c r="K71" s="384">
        <f>IF(MAX(C71:C77)&lt;0,0,ROUND(MAX(C71:C77),2))</f>
        <v>464.72</v>
      </c>
      <c r="L71" s="384"/>
      <c r="M71" s="279" t="str">
        <f>IFERROR(IF(MAX(C71:C77)&lt;=0,"","barra "&amp;MID(VLOOKUP(K71,_xlfn.ANCHORARRAY($U$71),3,0),2,2)),V_Excel)</f>
        <v>barra CB</v>
      </c>
      <c r="T71" s="185" t="str">
        <f>IF(K71&gt;ABS(K72),_OK,_NO)</f>
        <v>No</v>
      </c>
      <c r="U71" s="187" cm="1">
        <f t="array" ref="U71:X77">IFERROR(_xlfn.SORTBY(C71:F77,F71:F77,-1,C71:C77,1),"V2021 o POSTERIOR")</f>
        <v>-619.62</v>
      </c>
      <c r="V71" s="120">
        <v>0</v>
      </c>
      <c r="W71" s="120" t="str">
        <v>LDE =</v>
      </c>
      <c r="X71" s="122">
        <v>4000</v>
      </c>
      <c r="Y71" s="61" t="str">
        <f>MID(B71,2,2)</f>
        <v>AD</v>
      </c>
      <c r="Z71" s="317">
        <f t="shared" ref="Z71:Z77" si="0">ABS(C71)*1000/Area_d_min_esb*IF(C71&gt;0,1,AA71)</f>
        <v>207.02576581875451</v>
      </c>
      <c r="AA71" s="318">
        <f t="shared" ref="AA71:AA77" si="1">IF(C71&lt;0,VLOOKUP(ROUNDUP(ROUNDUP(F71/d_min_esb*IF(D_L="lado",12^0.5,4),0),0),Coef_w,Tipo_Ale+1),1)</f>
        <v>3.33</v>
      </c>
    </row>
    <row r="72" spans="2:27" ht="16.350000000000001" outlineLevel="4" x14ac:dyDescent="0.5">
      <c r="B72" s="98" t="s">
        <v>136</v>
      </c>
      <c r="C72" s="367">
        <f>ROUND(T_AB,2)</f>
        <v>223.21</v>
      </c>
      <c r="D72" s="367"/>
      <c r="E72" s="98" t="s">
        <v>166</v>
      </c>
      <c r="F72" s="368">
        <f>ROUND(L_*1000,0)</f>
        <v>4000</v>
      </c>
      <c r="G72" s="368"/>
      <c r="J72" s="186" t="str">
        <f>IF(MIN(C71:C77)&lt;0,"Máx. Compresión:","No hay compresión")</f>
        <v>Máx. Compresión:</v>
      </c>
      <c r="K72" s="384">
        <f>IF(MIN(C71:C77)&gt;0,0,ROUND(MIN(C71:C77),2))</f>
        <v>-619.62</v>
      </c>
      <c r="L72" s="384"/>
      <c r="M72" s="326" t="str">
        <f>IFERROR("barra "&amp;MID(VLOOKUP(K72,_xlfn.ANCHORARRAY($U$71),3,0),2,2),V_Excel)</f>
        <v>barra DE</v>
      </c>
      <c r="U72" s="120">
        <v>223.21</v>
      </c>
      <c r="V72" s="120">
        <v>0</v>
      </c>
      <c r="W72" s="120" t="str">
        <v>LAB =</v>
      </c>
      <c r="X72" s="122">
        <v>4000</v>
      </c>
      <c r="Y72" s="61" t="str">
        <f t="shared" ref="Y72:Y77" si="2">MID(B72,2,2)</f>
        <v>AB</v>
      </c>
      <c r="Z72" s="317">
        <f t="shared" si="0"/>
        <v>69.384716499105394</v>
      </c>
      <c r="AA72" s="318">
        <f t="shared" si="1"/>
        <v>1</v>
      </c>
    </row>
    <row r="73" spans="2:27" ht="16.350000000000001" outlineLevel="4" x14ac:dyDescent="0.65">
      <c r="B73" s="61" t="s">
        <v>138</v>
      </c>
      <c r="C73" s="367">
        <f>ROUND(T_CE,2)</f>
        <v>-421.14</v>
      </c>
      <c r="D73" s="367"/>
      <c r="E73" s="61" t="s">
        <v>167</v>
      </c>
      <c r="F73" s="368">
        <f>ROUND(L_Diagonal*1000,0)</f>
        <v>2309</v>
      </c>
      <c r="G73" s="368"/>
      <c r="I73" s="386" t="str">
        <f>IF(K71=0,"No hay ninguna barra sometida a esfuerzos de tracción.","Dado que el esfuerzo máximo de tracción es "&amp;IF(T71=_NO,IF(K71=-K72,"igual","menor"),"mayor")&amp;" que el máximo de compresión, "&amp;IF(T71=_NO,LOWER(T71)&amp;" ","")&amp;" es necesario calcular la tensión por tracción.")</f>
        <v>Dado que el esfuerzo máximo de tracción es menor que el máximo de compresión, no  es necesario calcular la tensión por tracción.</v>
      </c>
      <c r="J73" s="386"/>
      <c r="K73" s="386"/>
      <c r="L73" s="386"/>
      <c r="M73" s="386"/>
      <c r="U73" s="120">
        <v>464.72</v>
      </c>
      <c r="V73" s="120">
        <v>0</v>
      </c>
      <c r="W73" s="120" t="str">
        <v>LCB =</v>
      </c>
      <c r="X73" s="122">
        <v>4000</v>
      </c>
      <c r="Y73" s="61" t="str">
        <f t="shared" si="2"/>
        <v>CE</v>
      </c>
      <c r="Z73" s="317">
        <f t="shared" si="0"/>
        <v>435.93415508455138</v>
      </c>
      <c r="AA73" s="318">
        <f t="shared" si="1"/>
        <v>3.33</v>
      </c>
    </row>
    <row r="74" spans="2:27" ht="16.350000000000001" outlineLevel="4" x14ac:dyDescent="0.5">
      <c r="B74" s="98" t="s">
        <v>179</v>
      </c>
      <c r="C74" s="367">
        <f>ROUND(T_CB,2)</f>
        <v>464.72</v>
      </c>
      <c r="D74" s="367"/>
      <c r="E74" s="98" t="s">
        <v>178</v>
      </c>
      <c r="F74" s="368">
        <f>ROUND(L_*1000,0)</f>
        <v>4000</v>
      </c>
      <c r="G74" s="368"/>
      <c r="I74" s="386"/>
      <c r="J74" s="386"/>
      <c r="K74" s="386"/>
      <c r="L74" s="386"/>
      <c r="M74" s="386"/>
      <c r="N74" s="112"/>
      <c r="U74" s="120">
        <v>-421.14</v>
      </c>
      <c r="V74" s="120">
        <v>0</v>
      </c>
      <c r="W74" s="120" t="str">
        <v>LCE =</v>
      </c>
      <c r="X74" s="122">
        <v>2309</v>
      </c>
      <c r="Y74" s="61" t="str">
        <f t="shared" si="2"/>
        <v>CB</v>
      </c>
      <c r="Z74" s="317">
        <f t="shared" si="0"/>
        <v>144.45797881575314</v>
      </c>
      <c r="AA74" s="318">
        <f t="shared" si="1"/>
        <v>1</v>
      </c>
    </row>
    <row r="75" spans="2:27" ht="16.350000000000001" customHeight="1" outlineLevel="4" x14ac:dyDescent="0.65">
      <c r="B75" s="61" t="s">
        <v>143</v>
      </c>
      <c r="C75" s="367">
        <f>ROUND(T_DB,2)</f>
        <v>400</v>
      </c>
      <c r="D75" s="367"/>
      <c r="E75" s="61" t="s">
        <v>168</v>
      </c>
      <c r="F75" s="368">
        <f>ROUND(L_Diagonal*1000,0)</f>
        <v>2309</v>
      </c>
      <c r="G75" s="368"/>
      <c r="I75" s="386"/>
      <c r="J75" s="386"/>
      <c r="K75" s="386"/>
      <c r="L75" s="386"/>
      <c r="M75" s="386"/>
      <c r="N75" s="112"/>
      <c r="T75" s="112"/>
      <c r="U75" s="120">
        <v>-200</v>
      </c>
      <c r="V75" s="120">
        <v>0</v>
      </c>
      <c r="W75" s="120" t="str">
        <v>LAD =</v>
      </c>
      <c r="X75" s="122">
        <v>2309</v>
      </c>
      <c r="Y75" s="61" t="str">
        <f t="shared" si="2"/>
        <v>DB</v>
      </c>
      <c r="Z75" s="317">
        <f t="shared" si="0"/>
        <v>124.33979929054324</v>
      </c>
      <c r="AA75" s="318">
        <f t="shared" si="1"/>
        <v>1</v>
      </c>
    </row>
    <row r="76" spans="2:27" ht="16.350000000000001" customHeight="1" outlineLevel="4" x14ac:dyDescent="0.5">
      <c r="B76" s="98" t="s">
        <v>144</v>
      </c>
      <c r="C76" s="367">
        <f>ROUND(T_DE,2)</f>
        <v>-619.62</v>
      </c>
      <c r="D76" s="367"/>
      <c r="E76" s="98" t="s">
        <v>169</v>
      </c>
      <c r="F76" s="368">
        <f>ROUND(L_*1000,0)</f>
        <v>4000</v>
      </c>
      <c r="G76" s="368"/>
      <c r="I76" s="385" t="s">
        <v>174</v>
      </c>
      <c r="J76" s="373">
        <f>K71*1000</f>
        <v>464720</v>
      </c>
      <c r="K76" s="373"/>
      <c r="L76" s="387">
        <f>IF(K71&gt;-K72,J76/Area_d_min_esb,0)</f>
        <v>0</v>
      </c>
      <c r="M76" s="387"/>
      <c r="T76" s="185" t="str">
        <f>IF(L76&gt;Acero_Ale,_OK,_NO)</f>
        <v>No</v>
      </c>
      <c r="U76" s="120">
        <v>121.14</v>
      </c>
      <c r="V76" s="120">
        <v>0</v>
      </c>
      <c r="W76" s="120" t="str">
        <v>LBE =</v>
      </c>
      <c r="X76" s="122">
        <v>2309</v>
      </c>
      <c r="Y76" s="61" t="str">
        <f t="shared" si="2"/>
        <v>DE</v>
      </c>
      <c r="Z76" s="317">
        <f t="shared" si="0"/>
        <v>1627.5423834690851</v>
      </c>
      <c r="AA76" s="318">
        <f t="shared" si="1"/>
        <v>8.4499999999999993</v>
      </c>
    </row>
    <row r="77" spans="2:27" ht="16.350000000000001" customHeight="1" outlineLevel="4" x14ac:dyDescent="0.65">
      <c r="B77" s="61" t="s">
        <v>172</v>
      </c>
      <c r="C77" s="367">
        <f>ROUND(T_BE,2)</f>
        <v>121.14</v>
      </c>
      <c r="D77" s="367"/>
      <c r="E77" s="61" t="s">
        <v>177</v>
      </c>
      <c r="F77" s="368">
        <f>ROUND(L_Diagonal*1000,0)</f>
        <v>2309</v>
      </c>
      <c r="G77" s="368"/>
      <c r="I77" s="385"/>
      <c r="J77" s="377" t="str">
        <f>IF(Tipo_Seccion_Ale=OCULTOS!$J$17,d_min_esb&amp;"²","π · "&amp;d_min_esb&amp;"² / 4")</f>
        <v>π · 64² / 4</v>
      </c>
      <c r="K77" s="377"/>
      <c r="L77" s="387"/>
      <c r="M77" s="387"/>
      <c r="U77" s="120">
        <v>400</v>
      </c>
      <c r="V77" s="120">
        <v>0</v>
      </c>
      <c r="W77" s="120" t="str">
        <v>LDB =</v>
      </c>
      <c r="X77" s="122">
        <v>2309</v>
      </c>
      <c r="Y77" s="61" t="str">
        <f t="shared" si="2"/>
        <v>BE</v>
      </c>
      <c r="Z77" s="317">
        <f t="shared" si="0"/>
        <v>37.656308215141017</v>
      </c>
      <c r="AA77" s="318">
        <f t="shared" si="1"/>
        <v>1</v>
      </c>
    </row>
    <row r="78" spans="2:27" ht="29.35" customHeight="1" outlineLevel="4" x14ac:dyDescent="0.5">
      <c r="B78" s="354" t="str">
        <f>IF(T71=_OK,"La tensión por los esfuerzos de tracción es "&amp;IF(T76=_OK,"mayor que la admisible, σ = "&amp;Acero_Ale&amp;" MPa, por tanto es necesario calcular la sección mínima necesaria por el esfuerzo de tracción:","menor que la admisible, por lo que no hay que tener en cuenta estos esfuerzos para dimensionar la cercha."),"")</f>
        <v/>
      </c>
      <c r="C78" s="354"/>
      <c r="D78" s="354"/>
      <c r="E78" s="354"/>
      <c r="F78" s="354"/>
      <c r="G78" s="354"/>
      <c r="H78" s="354"/>
      <c r="I78" s="354"/>
      <c r="J78" s="354"/>
      <c r="K78" s="354"/>
      <c r="L78" s="354"/>
      <c r="M78" s="354"/>
      <c r="U78" s="188">
        <f>VLOOKUP(MAX(X71:X77),CHOOSE({2,1},U71:U77,X71:X77),2,0)</f>
        <v>-619.62</v>
      </c>
      <c r="W78" s="188" t="str">
        <f>MID(VLOOKUP(U78,U71:W77,3,0),2,2)</f>
        <v>DE</v>
      </c>
      <c r="X78" s="188">
        <f>VLOOKUP(U78,_xlfn.ANCHORARRAY(U71),4,0)</f>
        <v>4000</v>
      </c>
      <c r="Y78" s="61"/>
    </row>
    <row r="79" spans="2:27" ht="14.7" customHeight="1" outlineLevel="4" x14ac:dyDescent="0.5">
      <c r="B79" s="364" t="s">
        <v>175</v>
      </c>
      <c r="C79" s="414">
        <f>Acero_Ale</f>
        <v>235</v>
      </c>
      <c r="D79" s="414"/>
      <c r="E79" s="373">
        <f>IF(L76=0,0,K71*1000)</f>
        <v>0</v>
      </c>
      <c r="F79" s="373"/>
      <c r="G79" s="364" t="s">
        <v>183</v>
      </c>
      <c r="H79" s="412">
        <f>IFERROR(ROUNDUP((E79/C79*IF(Tipo_Seccion_Ale=OCULTOS!J17,1,4/PI()))^0.5,0),0)</f>
        <v>0</v>
      </c>
      <c r="I79" s="412"/>
      <c r="J79" s="413" t="str">
        <f>IF(d_min_esb&lt;d_min_trac,"mayor","menor")&amp;" que el calculado por esbeltez (d = "&amp;d_min_esb&amp;" mm)."</f>
        <v>menor que el calculado por esbeltez (d = 64 mm).</v>
      </c>
      <c r="K79" s="413"/>
      <c r="L79" s="413"/>
      <c r="M79" s="413"/>
      <c r="X79" s="133"/>
    </row>
    <row r="80" spans="2:27" ht="14.35" customHeight="1" outlineLevel="4" x14ac:dyDescent="0.5">
      <c r="B80" s="364"/>
      <c r="C80" s="414"/>
      <c r="D80" s="414"/>
      <c r="E80" s="377" t="str">
        <f>IF(Tipo_Seccion_Ale=OCULTOS!$J$17,"d²","(π · d² / 4)")</f>
        <v>(π · d² / 4)</v>
      </c>
      <c r="F80" s="377"/>
      <c r="G80" s="364"/>
      <c r="H80" s="412"/>
      <c r="I80" s="412"/>
      <c r="J80" s="413"/>
      <c r="K80" s="413"/>
      <c r="L80" s="413"/>
      <c r="M80" s="413"/>
    </row>
    <row r="81" spans="2:24" ht="57" customHeight="1" outlineLevel="3" x14ac:dyDescent="0.5">
      <c r="B81" s="411" t="str">
        <f>IF(K72=0,"Como en este caso no hay ninguna barra a compresión, el "&amp;D_L&amp;" mínimo que hay que poner es el obtenido por "&amp;IF(d_min_esb&gt;d_min_trac,"esbeltez, "&amp;d_min_esb,"tracción, d = "&amp;d_min_trac)&amp;" mm.",
"A continuación, hay que comprobar la barra que está sometida al mayor esfuerzo de compresión, teniendo en cuenta su esbeltez."&amp;" Si esta barra es la más larga de toda la cercha, con esta comprobación se termina el problema. Si no, habría que comprobar, de las barras más más largas (más esbeltas), la que mayor carga de compresión tenga.")</f>
        <v>A continuación, hay que comprobar la barra que está sometida al mayor esfuerzo de compresión, teniendo en cuenta su esbeltez. Si esta barra es la más larga de toda la cercha, con esta comprobación se termina el problema. Si no, habría que comprobar, de las barras más más largas (más esbeltas), la que mayor carga de compresión tenga.</v>
      </c>
      <c r="C81" s="411"/>
      <c r="D81" s="411"/>
      <c r="E81" s="411"/>
      <c r="F81" s="411"/>
      <c r="G81" s="411"/>
      <c r="H81" s="411"/>
      <c r="I81" s="411"/>
      <c r="J81" s="411"/>
      <c r="K81" s="411"/>
      <c r="L81" s="411"/>
      <c r="M81" s="411"/>
      <c r="O81" s="356" t="str">
        <f>IF(M71=V_Excel,"A partir de aquí, solo funciona correctamente para versiones de Excel 2021 y posteriores.","")</f>
        <v/>
      </c>
      <c r="P81" s="356"/>
      <c r="Q81" s="356"/>
      <c r="R81" s="356"/>
      <c r="S81" s="356"/>
    </row>
    <row r="82" spans="2:24" ht="43" customHeight="1" outlineLevel="4" collapsed="1" x14ac:dyDescent="0.5">
      <c r="B82" s="354" t="str">
        <f>"Calculamos la esbeltez correspondiente, teniendo en cuenta la longitud de la barra "&amp;RIGHT(M72,2)&amp;", así como el coeficiente de imperfección, que es tipo "&amp;Tipo_Curva&amp;". 
Para ello, utilizamos el "&amp;D_L&amp;" mínimo obtenido, en este caso por "&amp;IF(d_min_esb&gt;d_min_trac,"esbeltez, d = "&amp;d_min_esb,"tracción, d = "&amp;d_min_trac)&amp;" mm."</f>
        <v>Calculamos la esbeltez correspondiente, teniendo en cuenta la longitud de la barra DE, así como el coeficiente de imperfección, que es tipo c. 
Para ello, utilizamos el diámetro mínimo obtenido, en este caso por esbeltez, d = 64 mm.</v>
      </c>
      <c r="C82" s="354"/>
      <c r="D82" s="354"/>
      <c r="E82" s="354"/>
      <c r="F82" s="354"/>
      <c r="G82" s="354"/>
      <c r="H82" s="354"/>
      <c r="I82" s="354"/>
      <c r="J82" s="354"/>
      <c r="K82" s="354"/>
      <c r="L82" s="354"/>
      <c r="M82" s="354"/>
      <c r="O82" s="246"/>
      <c r="P82" s="246"/>
      <c r="Q82" s="246"/>
      <c r="R82" s="246"/>
      <c r="S82" s="246"/>
    </row>
    <row r="83" spans="2:24" ht="24.35" customHeight="1" outlineLevel="4" x14ac:dyDescent="0.5">
      <c r="B83" s="98" t="s">
        <v>164</v>
      </c>
      <c r="C83" s="379">
        <f>MAX(d_min_esb,d_min_trac)</f>
        <v>64</v>
      </c>
      <c r="D83" s="379"/>
      <c r="E83" s="116" t="s">
        <v>176</v>
      </c>
      <c r="F83" s="359" t="str">
        <f>C83&amp;IF(Tipo_Seccion_Ale=OCULTOS!$J$17," / √12 = "," / 4 = ")</f>
        <v xml:space="preserve">64 / 4 = </v>
      </c>
      <c r="G83" s="359"/>
      <c r="H83" s="360">
        <f>C83/T66</f>
        <v>16</v>
      </c>
      <c r="I83" s="360"/>
    </row>
    <row r="84" spans="2:24" ht="15" customHeight="1" outlineLevel="4" collapsed="1" x14ac:dyDescent="0.5">
      <c r="C84" s="355" t="s">
        <v>191</v>
      </c>
      <c r="D84" s="113" t="s">
        <v>3</v>
      </c>
      <c r="E84" s="365" t="s">
        <v>188</v>
      </c>
      <c r="F84" s="361" cm="1">
        <f t="array" aca="1" ref="F84" ca="1">IFERROR(INDIRECT("L_"&amp;RIGHT(M72,2)&amp;"_Ver")*1000,0)</f>
        <v>4000</v>
      </c>
      <c r="G84" s="361"/>
      <c r="H84" s="381">
        <f ca="1">F84/F85</f>
        <v>250</v>
      </c>
      <c r="I84" s="381"/>
      <c r="J84" s="363" t="s">
        <v>181</v>
      </c>
      <c r="K84" s="364" t="s">
        <v>180</v>
      </c>
      <c r="L84" s="352">
        <f ca="1">IFERROR(VLOOKUP(ROUNDUP(H84,0),Coef_w,Tipo_Ale+1),1)</f>
        <v>8.4499999999999993</v>
      </c>
    </row>
    <row r="85" spans="2:24" ht="13.35" customHeight="1" outlineLevel="4" x14ac:dyDescent="0.5">
      <c r="C85" s="355"/>
      <c r="D85" s="116" t="s">
        <v>189</v>
      </c>
      <c r="E85" s="365"/>
      <c r="F85" s="353">
        <f>H83</f>
        <v>16</v>
      </c>
      <c r="G85" s="353"/>
      <c r="H85" s="381"/>
      <c r="I85" s="381"/>
      <c r="J85" s="363"/>
      <c r="K85" s="364"/>
      <c r="L85" s="352"/>
    </row>
    <row r="86" spans="2:24" ht="19.350000000000001" customHeight="1" outlineLevel="4" x14ac:dyDescent="0.65">
      <c r="B86" s="355" t="s">
        <v>192</v>
      </c>
      <c r="C86" s="113" t="s">
        <v>193</v>
      </c>
      <c r="D86" s="366" t="s">
        <v>194</v>
      </c>
      <c r="E86" s="373">
        <f>ABS($K$72)*1000</f>
        <v>619620</v>
      </c>
      <c r="F86" s="373"/>
      <c r="G86" s="374">
        <f ca="1">L84</f>
        <v>8.4499999999999993</v>
      </c>
      <c r="H86" s="375">
        <f ca="1">E86/(C83^2*IF(Tipo_Seccion_Ale=OCULTOS!$J$17,1,PI()/4))*G86</f>
        <v>1627.5423834690851</v>
      </c>
      <c r="I86" s="375"/>
      <c r="J86" s="378" t="str">
        <f ca="1">IF(H86&gt;Acero_Ale,"&gt; ","&lt; ")&amp;Acero_Ale&amp;" MPa, "&amp;IF(H86&gt;Acero_Ale,"NO ","")&amp;"VÁLIDO"</f>
        <v>&gt; 235 MPa, NO VÁLIDO</v>
      </c>
      <c r="K86" s="378"/>
      <c r="L86" s="378"/>
      <c r="M86" s="378"/>
    </row>
    <row r="87" spans="2:24" ht="14.35" customHeight="1" outlineLevel="4" x14ac:dyDescent="0.5">
      <c r="B87" s="355"/>
      <c r="C87" s="119" t="s">
        <v>21</v>
      </c>
      <c r="D87" s="366"/>
      <c r="E87" s="377" t="str">
        <f>C83&amp;"²"&amp;IF(Tipo_Seccion_Ale=OCULTOS!$J$17,""," · π / 4")</f>
        <v>64² · π / 4</v>
      </c>
      <c r="F87" s="377"/>
      <c r="G87" s="374"/>
      <c r="H87" s="375"/>
      <c r="I87" s="375"/>
      <c r="J87" s="378"/>
      <c r="K87" s="378"/>
      <c r="L87" s="378"/>
      <c r="M87" s="378"/>
    </row>
    <row r="88" spans="2:24" ht="28.7" customHeight="1" outlineLevel="4" x14ac:dyDescent="0.5">
      <c r="B88" s="354" t="str">
        <f ca="1">IF(H86&lt;Acero_Ale,"El "&amp;D_L&amp;" mínimo, para la máxima carga de compresión es d = "&amp;C83&amp;" mm.","Vamos probando por tanteo, hasta que encontremos el primer valor que haga que la tensión calculada sea inferior a la admisible.")</f>
        <v>Vamos probando por tanteo, hasta que encontremos el primer valor que haga que la tensión calculada sea inferior a la admisible.</v>
      </c>
      <c r="C88" s="354"/>
      <c r="D88" s="354"/>
      <c r="E88" s="354"/>
      <c r="F88" s="354"/>
      <c r="G88" s="354"/>
      <c r="H88" s="354"/>
      <c r="I88" s="354"/>
      <c r="J88" s="354"/>
      <c r="K88" s="354"/>
      <c r="L88" s="354"/>
      <c r="M88" s="354"/>
    </row>
    <row r="89" spans="2:24" ht="24.35" customHeight="1" outlineLevel="4" x14ac:dyDescent="0.5">
      <c r="B89" s="101" t="s">
        <v>186</v>
      </c>
      <c r="C89" s="358">
        <f ca="1">IFERROR(VLOOKUP(E86/Acero_Ale,Tabla6[[A/w]:[Lado / D]],2,1),C83)</f>
        <v>107</v>
      </c>
      <c r="D89" s="358"/>
      <c r="E89" s="116" t="s">
        <v>176</v>
      </c>
      <c r="F89" s="359" t="str">
        <f ca="1">C89&amp;IF(Tipo_Seccion_Ale=OCULTOS!$J$17," / √12 = "," / 4 = ")</f>
        <v xml:space="preserve">107 / 4 = </v>
      </c>
      <c r="G89" s="359"/>
      <c r="H89" s="360">
        <f ca="1">C89/T66</f>
        <v>26.75</v>
      </c>
      <c r="I89" s="360"/>
      <c r="X89" s="133"/>
    </row>
    <row r="90" spans="2:24" ht="15" customHeight="1" outlineLevel="4" collapsed="1" x14ac:dyDescent="0.5">
      <c r="C90" s="355" t="s">
        <v>191</v>
      </c>
      <c r="D90" s="113" t="s">
        <v>3</v>
      </c>
      <c r="E90" s="365" t="s">
        <v>188</v>
      </c>
      <c r="F90" s="361">
        <f ca="1">F84</f>
        <v>4000</v>
      </c>
      <c r="G90" s="361"/>
      <c r="H90" s="362">
        <f ca="1">F90/F91</f>
        <v>149.53271028037383</v>
      </c>
      <c r="I90" s="362"/>
      <c r="J90" s="363" t="s">
        <v>181</v>
      </c>
      <c r="K90" s="364" t="s">
        <v>180</v>
      </c>
      <c r="L90" s="352">
        <f ca="1">IFERROR(VLOOKUP(ROUNDUP(H90,0),Coef_w,Tipo_Ale+1),1)</f>
        <v>3.51</v>
      </c>
    </row>
    <row r="91" spans="2:24" ht="13.35" customHeight="1" outlineLevel="4" x14ac:dyDescent="0.5">
      <c r="C91" s="355"/>
      <c r="D91" s="116" t="s">
        <v>189</v>
      </c>
      <c r="E91" s="365"/>
      <c r="F91" s="353">
        <f ca="1">H89</f>
        <v>26.75</v>
      </c>
      <c r="G91" s="353"/>
      <c r="H91" s="362"/>
      <c r="I91" s="362"/>
      <c r="J91" s="363"/>
      <c r="K91" s="364"/>
      <c r="L91" s="352"/>
    </row>
    <row r="92" spans="2:24" ht="19.350000000000001" customHeight="1" outlineLevel="4" x14ac:dyDescent="0.65">
      <c r="B92" s="355" t="s">
        <v>192</v>
      </c>
      <c r="C92" s="113" t="s">
        <v>193</v>
      </c>
      <c r="D92" s="366" t="s">
        <v>194</v>
      </c>
      <c r="E92" s="373">
        <f>ABS($K$72)*1000</f>
        <v>619620</v>
      </c>
      <c r="F92" s="373"/>
      <c r="G92" s="374">
        <f ca="1">L90</f>
        <v>3.51</v>
      </c>
      <c r="H92" s="375">
        <f ca="1">E92/(C89^2*IF(Tipo_Seccion_Ale=OCULTOS!$J$17,1,PI()/4))*G92</f>
        <v>241.86615864685939</v>
      </c>
      <c r="I92" s="375"/>
      <c r="J92" s="378" t="str">
        <f ca="1">IF(H92&gt;Acero_Ale,"&gt; ","&lt; ")&amp;Acero_Ale&amp;" MPa, "&amp;IF(H92&gt;Acero_Ale,"NO ","")&amp;"VÁLIDO"</f>
        <v>&gt; 235 MPa, NO VÁLIDO</v>
      </c>
      <c r="K92" s="378"/>
      <c r="L92" s="378"/>
      <c r="M92" s="378"/>
      <c r="X92" s="133"/>
    </row>
    <row r="93" spans="2:24" ht="14.35" customHeight="1" outlineLevel="4" x14ac:dyDescent="0.5">
      <c r="B93" s="355"/>
      <c r="C93" s="119" t="s">
        <v>21</v>
      </c>
      <c r="D93" s="366"/>
      <c r="E93" s="377" t="str">
        <f ca="1">C89&amp;"²"&amp;IF(Tipo_Seccion_Ale=OCULTOS!$J$17,""," · π / 4")</f>
        <v>107² · π / 4</v>
      </c>
      <c r="F93" s="377"/>
      <c r="G93" s="374"/>
      <c r="H93" s="375"/>
      <c r="I93" s="375"/>
      <c r="J93" s="378"/>
      <c r="K93" s="378"/>
      <c r="L93" s="378"/>
      <c r="M93" s="378"/>
    </row>
    <row r="94" spans="2:24" ht="24.35" customHeight="1" outlineLevel="4" x14ac:dyDescent="0.5">
      <c r="B94" s="98" t="s">
        <v>186</v>
      </c>
      <c r="C94" s="379">
        <f ca="1">IF(H86&gt;Acero_Ale,C89+1,C89)</f>
        <v>108</v>
      </c>
      <c r="D94" s="379"/>
      <c r="E94" s="116" t="s">
        <v>176</v>
      </c>
      <c r="F94" s="359" t="str">
        <f ca="1">C94&amp;IF(Tipo_Seccion_Ale=OCULTOS!$J$17," / √12 = "," / 4 = ")</f>
        <v xml:space="preserve">108 / 4 = </v>
      </c>
      <c r="G94" s="359"/>
      <c r="H94" s="360">
        <f ca="1">C94/T66</f>
        <v>27</v>
      </c>
      <c r="I94" s="360"/>
      <c r="X94" s="133"/>
    </row>
    <row r="95" spans="2:24" ht="15" customHeight="1" outlineLevel="4" collapsed="1" x14ac:dyDescent="0.5">
      <c r="C95" s="355" t="s">
        <v>191</v>
      </c>
      <c r="D95" s="113" t="s">
        <v>3</v>
      </c>
      <c r="E95" s="365" t="s">
        <v>188</v>
      </c>
      <c r="F95" s="361">
        <f ca="1">F90</f>
        <v>4000</v>
      </c>
      <c r="G95" s="361"/>
      <c r="H95" s="362">
        <f ca="1">F95/F96</f>
        <v>148.14814814814815</v>
      </c>
      <c r="I95" s="362"/>
      <c r="J95" s="363" t="s">
        <v>181</v>
      </c>
      <c r="K95" s="364" t="s">
        <v>180</v>
      </c>
      <c r="L95" s="352">
        <f ca="1">IFERROR(VLOOKUP(ROUNDUP(H95,0),Coef_w,Tipo_Ale+1),1)</f>
        <v>3.47</v>
      </c>
    </row>
    <row r="96" spans="2:24" ht="13.35" customHeight="1" outlineLevel="4" x14ac:dyDescent="0.5">
      <c r="C96" s="355"/>
      <c r="D96" s="116" t="s">
        <v>189</v>
      </c>
      <c r="E96" s="365"/>
      <c r="F96" s="353">
        <f ca="1">H94</f>
        <v>27</v>
      </c>
      <c r="G96" s="353"/>
      <c r="H96" s="362"/>
      <c r="I96" s="362"/>
      <c r="J96" s="363"/>
      <c r="K96" s="364"/>
      <c r="L96" s="352"/>
    </row>
    <row r="97" spans="2:24" ht="19.350000000000001" customHeight="1" outlineLevel="4" x14ac:dyDescent="0.65">
      <c r="B97" s="355" t="s">
        <v>192</v>
      </c>
      <c r="C97" s="113" t="s">
        <v>193</v>
      </c>
      <c r="D97" s="366" t="s">
        <v>194</v>
      </c>
      <c r="E97" s="373">
        <f>ABS($K$72)*1000</f>
        <v>619620</v>
      </c>
      <c r="F97" s="373"/>
      <c r="G97" s="374">
        <f ca="1">L95</f>
        <v>3.47</v>
      </c>
      <c r="H97" s="375">
        <f ca="1">E97/(C94^2*IF(Tipo_Seccion_Ale=OCULTOS!$J$17,1,PI()/4))*G97</f>
        <v>234.70238879282766</v>
      </c>
      <c r="I97" s="375"/>
      <c r="J97" s="378" t="str">
        <f ca="1">IF(H97&gt;Acero_Ale,"&gt; ","&lt; ")&amp;Acero_Ale&amp;" MPa, "&amp;IF(H97&gt;Acero_Ale,"NO ","")&amp;"VÁLIDO"</f>
        <v>&lt; 235 MPa, VÁLIDO</v>
      </c>
      <c r="K97" s="378"/>
      <c r="L97" s="378"/>
      <c r="M97" s="378"/>
      <c r="X97" s="133"/>
    </row>
    <row r="98" spans="2:24" ht="14.35" customHeight="1" outlineLevel="4" x14ac:dyDescent="0.5">
      <c r="B98" s="355"/>
      <c r="C98" s="119" t="s">
        <v>21</v>
      </c>
      <c r="D98" s="366"/>
      <c r="E98" s="377" t="str">
        <f ca="1">C94&amp;"²"&amp;IF(Tipo_Seccion_Ale=OCULTOS!$J$17,""," · π / 4")</f>
        <v>108² · π / 4</v>
      </c>
      <c r="F98" s="377"/>
      <c r="G98" s="374"/>
      <c r="H98" s="375"/>
      <c r="I98" s="375"/>
      <c r="J98" s="378"/>
      <c r="K98" s="378"/>
      <c r="L98" s="378"/>
      <c r="M98" s="378"/>
    </row>
    <row r="99" spans="2:24" outlineLevel="4" collapsed="1" x14ac:dyDescent="0.5">
      <c r="B99" s="354" t="str">
        <f ca="1">IF(K72=0,"","Por tanto, el "&amp;D_L&amp;" mínimo, para la máxima carga de compresión es d = "&amp;C94&amp;" mm.")</f>
        <v>Por tanto, el diámetro mínimo, para la máxima carga de compresión es d = 108 mm.</v>
      </c>
      <c r="C99" s="354"/>
      <c r="D99" s="354"/>
      <c r="E99" s="354"/>
      <c r="F99" s="354"/>
      <c r="G99" s="354"/>
      <c r="H99" s="354"/>
      <c r="I99" s="354"/>
      <c r="J99" s="354"/>
      <c r="K99" s="354"/>
      <c r="L99" s="354"/>
      <c r="M99" s="354"/>
    </row>
    <row r="100" spans="2:24" ht="94.35" customHeight="1" outlineLevel="3" x14ac:dyDescent="0.5">
      <c r="B100" s="411" t="str">
        <f ca="1">IF(K72=0,"","Dado que la "&amp;M72&amp;IF(F84&lt;MAX(F71:G77)," no es de las barras de mayor longitud, "&amp;TEXT(F84,"#.###")&amp;" mm, hay que estudiar, de las barras más largas (más esbeltas), la que tenga mayor esfuerzo de compresión. "&amp;IF(U78&lt;0,"
Se comprueba que la barra "&amp;W78&amp;", cuya longitud es "&amp;TEXT(X78,"#.###")&amp;"  mm, tiene un esfuerzo de compresión de "&amp;TEXT(ABS(U78),"#.###,##")&amp;" kN, por lo que hay que comprobar si el es válida, para d = "&amp;C94&amp;" mm. Para ello, tenemos que calcular su esbeltez, pues esta barra es más larga que la anterior.",IF(X78&gt;F84,"
Se comprueba que no hay  ninguna barra de las más largas que tenga esfuerzo de compresión, por lo que se da por finalizado el problema, siendo d = "&amp;C94&amp;" mm el "&amp;D_L&amp;" mínimo necesario para que no falle ninguna de las barras de la cercha.","
Se comprueba que no hay  ninguna barra de las más largas que tenga esfuerzo de compresión mayor que el ya calculado, por lo que se da por finalizado el problema, siendo d = "&amp;C94&amp;" mm el "&amp;D_L&amp;" mínimo necesario para que no falle ninguna de las barras de la cercha.")
),
" es de las barras más largas, por tanto más esbelta, se da por finalizado el problema, siendo d = "&amp;C94&amp;" mm el "&amp;D_L&amp;" mínimo necesario para que no falle ninguna de las barras de la cercha."))</f>
        <v>Dado que la barra DE es de las barras más largas, por tanto más esbelta, se da por finalizado el problema, siendo d = 108 mm el diámetro mínimo necesario para que no falle ninguna de las barras de la cercha.</v>
      </c>
      <c r="C100" s="411"/>
      <c r="D100" s="411"/>
      <c r="E100" s="411"/>
      <c r="F100" s="411"/>
      <c r="G100" s="411"/>
      <c r="H100" s="411"/>
      <c r="I100" s="411"/>
      <c r="J100" s="411"/>
      <c r="K100" s="411"/>
      <c r="L100" s="411"/>
      <c r="M100" s="411"/>
    </row>
    <row r="101" spans="2:24" ht="24.35" customHeight="1" outlineLevel="4" x14ac:dyDescent="0.5">
      <c r="B101" s="98" t="s">
        <v>164</v>
      </c>
      <c r="C101" s="379">
        <f ca="1">C94</f>
        <v>108</v>
      </c>
      <c r="D101" s="379"/>
      <c r="E101" s="116" t="s">
        <v>176</v>
      </c>
      <c r="F101" s="359" t="str">
        <f ca="1">C101&amp;IF(Tipo_Seccion_Ale=OCULTOS!$J$17," / √12 = "," / 4 = ")</f>
        <v xml:space="preserve">108 / 4 = </v>
      </c>
      <c r="G101" s="359"/>
      <c r="H101" s="360">
        <f ca="1">C101/T66</f>
        <v>27</v>
      </c>
      <c r="I101" s="360"/>
      <c r="O101" s="134"/>
      <c r="X101" s="133"/>
    </row>
    <row r="102" spans="2:24" ht="15" customHeight="1" outlineLevel="4" collapsed="1" x14ac:dyDescent="0.5">
      <c r="C102" s="355" t="s">
        <v>191</v>
      </c>
      <c r="D102" s="113" t="s">
        <v>3</v>
      </c>
      <c r="E102" s="365" t="s">
        <v>188</v>
      </c>
      <c r="F102" s="380">
        <f ca="1">IF(AND(X78&gt;F84,F84&lt;MAX(F71:G77),U78&gt;=0),0,IFERROR(X78,0))</f>
        <v>4000</v>
      </c>
      <c r="G102" s="380"/>
      <c r="H102" s="381">
        <f ca="1">F102/F103</f>
        <v>148.14814814814815</v>
      </c>
      <c r="I102" s="381"/>
      <c r="J102" s="382" t="str">
        <f ca="1">IF(AND(X78&lt;F84,F84&lt;MAX(F71:G77)),"","⇒")</f>
        <v>⇒</v>
      </c>
      <c r="K102" s="383" t="str">
        <f ca="1">IF(AND(X78&lt;F84,F84&lt;MAX(F71:G77)),"","ω =")</f>
        <v>ω =</v>
      </c>
      <c r="L102" s="352">
        <f ca="1">IF(AND(X78&lt;F84,F84&lt;MAX(F71:G77)),0,IFERROR(VLOOKUP(ROUNDUP(H102,0),Coef_w,Tipo_Ale+1),1))</f>
        <v>3.47</v>
      </c>
    </row>
    <row r="103" spans="2:24" ht="13.35" customHeight="1" outlineLevel="4" x14ac:dyDescent="0.5">
      <c r="C103" s="355"/>
      <c r="D103" s="116" t="s">
        <v>189</v>
      </c>
      <c r="E103" s="365"/>
      <c r="F103" s="353">
        <f ca="1">H101</f>
        <v>27</v>
      </c>
      <c r="G103" s="353"/>
      <c r="H103" s="381"/>
      <c r="I103" s="381"/>
      <c r="J103" s="382"/>
      <c r="K103" s="383"/>
      <c r="L103" s="352"/>
    </row>
    <row r="104" spans="2:24" outlineLevel="4" collapsed="1" x14ac:dyDescent="0.5">
      <c r="C104" s="118"/>
    </row>
    <row r="105" spans="2:24" ht="19.350000000000001" customHeight="1" outlineLevel="4" x14ac:dyDescent="0.65">
      <c r="B105" s="355" t="s">
        <v>192</v>
      </c>
      <c r="C105" s="113" t="s">
        <v>193</v>
      </c>
      <c r="D105" s="366" t="s">
        <v>194</v>
      </c>
      <c r="E105" s="373">
        <f>IF(U78&gt;=0,E97,ABS(U78)*1000)</f>
        <v>619620</v>
      </c>
      <c r="F105" s="373"/>
      <c r="G105" s="374">
        <f ca="1">L102</f>
        <v>3.47</v>
      </c>
      <c r="H105" s="375">
        <f ca="1">E105/(C101^2*IF(Tipo_Seccion_Ale=OCULTOS!$J$17,1,PI()/4))*G105</f>
        <v>234.70238879282766</v>
      </c>
      <c r="I105" s="375"/>
      <c r="J105" s="378" t="str">
        <f ca="1">IF(H105&gt;Acero_Ale,"&gt; ","&lt; ")&amp;Acero_Ale&amp;" MPa, "&amp;IF(H105&gt;Acero_Ale,"NO ","")&amp;"VÁLIDO"</f>
        <v>&lt; 235 MPa, VÁLIDO</v>
      </c>
      <c r="K105" s="378"/>
      <c r="L105" s="378"/>
      <c r="M105" s="378"/>
      <c r="P105" s="322"/>
      <c r="X105" s="133"/>
    </row>
    <row r="106" spans="2:24" ht="14.35" customHeight="1" outlineLevel="4" x14ac:dyDescent="0.5">
      <c r="B106" s="355"/>
      <c r="C106" s="119" t="s">
        <v>21</v>
      </c>
      <c r="D106" s="366"/>
      <c r="E106" s="377" t="str">
        <f ca="1">C94&amp;"²"&amp;IF(Tipo_Seccion_Ale=OCULTOS!J17,""," · π / 4")</f>
        <v>108² · π / 4</v>
      </c>
      <c r="F106" s="377"/>
      <c r="G106" s="374"/>
      <c r="H106" s="375"/>
      <c r="I106" s="375"/>
      <c r="J106" s="378"/>
      <c r="K106" s="378"/>
      <c r="L106" s="378"/>
      <c r="M106" s="378"/>
    </row>
    <row r="107" spans="2:24" ht="30.7" customHeight="1" outlineLevel="3" x14ac:dyDescent="0.5">
      <c r="B107" s="411" t="str">
        <f ca="1">IF(H105&gt;Acero_Ale,
"Como no es válido, seguimos incrementando d.",IF(F84&gt;=MAX(F71:G77),"",
"Tras realizar todas las comprobaciones, el "&amp;Tipo_Seccion_Ale&amp;" definitivo mínimo necesario para que no falle ninguna barra es de "&amp;D_L&amp;" d = "&amp;C101&amp;" mm."))</f>
        <v/>
      </c>
      <c r="C107" s="411"/>
      <c r="D107" s="411"/>
      <c r="E107" s="411"/>
      <c r="F107" s="411"/>
      <c r="G107" s="411"/>
      <c r="H107" s="411"/>
      <c r="I107" s="411"/>
      <c r="J107" s="411"/>
      <c r="K107" s="411"/>
      <c r="L107" s="411"/>
      <c r="M107" s="411"/>
    </row>
    <row r="108" spans="2:24" ht="30.7" customHeight="1" outlineLevel="3" x14ac:dyDescent="0.5">
      <c r="B108" s="144"/>
      <c r="C108" s="144"/>
      <c r="D108" s="144"/>
      <c r="E108" s="144"/>
      <c r="F108" s="144"/>
      <c r="G108" s="144"/>
      <c r="H108" s="144"/>
      <c r="I108" s="144"/>
      <c r="J108" s="144"/>
      <c r="K108" s="144"/>
      <c r="L108" s="144"/>
      <c r="M108" s="144"/>
    </row>
    <row r="109" spans="2:24" ht="30.7" customHeight="1" outlineLevel="3" x14ac:dyDescent="0.5">
      <c r="B109" s="357" t="str">
        <f ca="1">IF(H105&gt;Acero_Ale, "Probamos para un "&amp;D_L&amp;" de valor d = "&amp;C110&amp;" mm:","")</f>
        <v/>
      </c>
      <c r="C109" s="357"/>
      <c r="D109" s="357"/>
      <c r="E109" s="357"/>
      <c r="F109" s="357"/>
      <c r="G109" s="357"/>
      <c r="H109" s="357"/>
      <c r="I109" s="357"/>
      <c r="J109" s="357"/>
      <c r="K109" s="357"/>
      <c r="L109" s="357"/>
      <c r="M109" s="357"/>
    </row>
    <row r="110" spans="2:24" ht="24.35" customHeight="1" outlineLevel="4" x14ac:dyDescent="0.5">
      <c r="B110" s="98" t="s">
        <v>186</v>
      </c>
      <c r="C110" s="379">
        <f ca="1">IFERROR(IF(H105&gt;Acero_Ale,VLOOKUP(Acero_Ale,_xlfn.SORTBY(Tabla7[[tensión]:[d]],Tabla7[tensión],1),2,1)-1,C101),C101)</f>
        <v>108</v>
      </c>
      <c r="D110" s="379"/>
      <c r="E110" s="116" t="s">
        <v>176</v>
      </c>
      <c r="F110" s="359" t="str">
        <f ca="1">C110&amp;IF(Tipo_Seccion_Ale=OCULTOS!$J$17," / √12 = "," / 4 = ")</f>
        <v xml:space="preserve">108 / 4 = </v>
      </c>
      <c r="G110" s="359"/>
      <c r="H110" s="360">
        <f ca="1">C110/T66</f>
        <v>27</v>
      </c>
      <c r="I110" s="360"/>
      <c r="X110" s="133"/>
    </row>
    <row r="111" spans="2:24" ht="15" customHeight="1" outlineLevel="4" collapsed="1" x14ac:dyDescent="0.5">
      <c r="C111" s="355" t="s">
        <v>191</v>
      </c>
      <c r="D111" s="113" t="s">
        <v>3</v>
      </c>
      <c r="E111" s="365" t="s">
        <v>188</v>
      </c>
      <c r="F111" s="361">
        <f ca="1">F102</f>
        <v>4000</v>
      </c>
      <c r="G111" s="361"/>
      <c r="H111" s="362">
        <f ca="1">F111/F112</f>
        <v>148.14814814814815</v>
      </c>
      <c r="I111" s="362"/>
      <c r="J111" s="363" t="s">
        <v>181</v>
      </c>
      <c r="K111" s="364" t="s">
        <v>180</v>
      </c>
      <c r="L111" s="352">
        <f ca="1">IFERROR(VLOOKUP(ROUNDUP(H111,0),Coef_w,Tipo_Ale+1),1)</f>
        <v>3.47</v>
      </c>
    </row>
    <row r="112" spans="2:24" ht="13.35" customHeight="1" outlineLevel="4" x14ac:dyDescent="0.5">
      <c r="C112" s="355"/>
      <c r="D112" s="116" t="s">
        <v>189</v>
      </c>
      <c r="E112" s="365"/>
      <c r="F112" s="353">
        <f ca="1">H110</f>
        <v>27</v>
      </c>
      <c r="G112" s="353"/>
      <c r="H112" s="362"/>
      <c r="I112" s="362"/>
      <c r="J112" s="363"/>
      <c r="K112" s="364"/>
      <c r="L112" s="352"/>
    </row>
    <row r="113" spans="2:24" ht="19.350000000000001" customHeight="1" outlineLevel="4" x14ac:dyDescent="0.65">
      <c r="B113" s="355" t="s">
        <v>192</v>
      </c>
      <c r="C113" s="113" t="s">
        <v>193</v>
      </c>
      <c r="D113" s="366" t="s">
        <v>194</v>
      </c>
      <c r="E113" s="373">
        <f>ABS(E105)</f>
        <v>619620</v>
      </c>
      <c r="F113" s="373"/>
      <c r="G113" s="374">
        <f ca="1">L111</f>
        <v>3.47</v>
      </c>
      <c r="H113" s="375">
        <f ca="1">E113/(C110^2*IF(Tipo_Seccion_Ale=OCULTOS!$J$17,1,PI()/4))*G113</f>
        <v>234.70238879282766</v>
      </c>
      <c r="I113" s="375"/>
      <c r="J113" s="376" t="str">
        <f ca="1">IF(H113&gt;Acero_Ale,"&gt; ","&lt; ")&amp;Acero_Ale&amp;" MPa, "&amp;IF(H113&gt;Acero_Ale,"NO ","")&amp;"VÁLIDO"</f>
        <v>&lt; 235 MPa, VÁLIDO</v>
      </c>
      <c r="K113" s="376"/>
      <c r="L113" s="376"/>
      <c r="M113" s="376"/>
      <c r="X113" s="133"/>
    </row>
    <row r="114" spans="2:24" ht="14.35" customHeight="1" outlineLevel="4" x14ac:dyDescent="0.5">
      <c r="B114" s="355"/>
      <c r="C114" s="119" t="s">
        <v>21</v>
      </c>
      <c r="D114" s="366"/>
      <c r="E114" s="377" t="str">
        <f ca="1">C110&amp;"²"&amp;IF(Tipo_Seccion_Ale=OCULTOS!$J$17,""," · π / 4")</f>
        <v>108² · π / 4</v>
      </c>
      <c r="F114" s="377"/>
      <c r="G114" s="374"/>
      <c r="H114" s="375"/>
      <c r="I114" s="375"/>
      <c r="J114" s="376"/>
      <c r="K114" s="376"/>
      <c r="L114" s="376"/>
      <c r="M114" s="376"/>
    </row>
    <row r="115" spans="2:24" ht="25" customHeight="1" outlineLevel="4" x14ac:dyDescent="0.5">
      <c r="B115" s="357" t="str">
        <f ca="1">IF(H113&gt;Acero_Ale, "Falla por poco, seguimos incrementando el "&amp;D_L&amp;", d = "&amp;C116&amp;" mm:",IF(C110&lt;&gt;C101,
  "Por tanto, el "&amp;D_L&amp;" mínimo definitivo, para la máxima carga de compresión es d = "&amp;C116&amp;" mm.",""))</f>
        <v/>
      </c>
      <c r="C115" s="357"/>
      <c r="D115" s="357"/>
      <c r="E115" s="357"/>
      <c r="F115" s="357"/>
      <c r="G115" s="357"/>
      <c r="H115" s="357"/>
      <c r="I115" s="357"/>
      <c r="J115" s="357"/>
      <c r="K115" s="357"/>
      <c r="L115" s="357"/>
      <c r="M115" s="357"/>
    </row>
    <row r="116" spans="2:24" ht="24.35" customHeight="1" outlineLevel="4" x14ac:dyDescent="0.5">
      <c r="B116" s="98" t="s">
        <v>186</v>
      </c>
      <c r="C116" s="379">
        <f ca="1">C110+IF(AND(L102&lt;&gt;0,H113&gt;Acero_Ale),1,0)</f>
        <v>108</v>
      </c>
      <c r="D116" s="379"/>
      <c r="E116" s="116" t="s">
        <v>176</v>
      </c>
      <c r="F116" s="359" t="str">
        <f ca="1">C116&amp;IF(Tipo_Seccion_Ale=OCULTOS!$J$17," / √12 = "," / 4 = ")</f>
        <v xml:space="preserve">108 / 4 = </v>
      </c>
      <c r="G116" s="359"/>
      <c r="H116" s="360">
        <f ca="1">C116/T66</f>
        <v>27</v>
      </c>
      <c r="I116" s="360"/>
      <c r="X116" s="133"/>
    </row>
    <row r="117" spans="2:24" ht="15" customHeight="1" outlineLevel="4" collapsed="1" x14ac:dyDescent="0.5">
      <c r="C117" s="355" t="s">
        <v>191</v>
      </c>
      <c r="D117" s="113" t="s">
        <v>3</v>
      </c>
      <c r="E117" s="365" t="s">
        <v>188</v>
      </c>
      <c r="F117" s="361">
        <f ca="1">F111</f>
        <v>4000</v>
      </c>
      <c r="G117" s="361"/>
      <c r="H117" s="362">
        <f ca="1">F117/F118</f>
        <v>148.14814814814815</v>
      </c>
      <c r="I117" s="362"/>
      <c r="J117" s="363" t="s">
        <v>181</v>
      </c>
      <c r="K117" s="364" t="s">
        <v>180</v>
      </c>
      <c r="L117" s="352">
        <f ca="1">IFERROR(VLOOKUP(ROUNDUP(H117,0),Coef_w,Tipo_Ale+1),1)</f>
        <v>3.47</v>
      </c>
    </row>
    <row r="118" spans="2:24" ht="13.35" customHeight="1" outlineLevel="4" x14ac:dyDescent="0.5">
      <c r="C118" s="355"/>
      <c r="D118" s="116" t="s">
        <v>189</v>
      </c>
      <c r="E118" s="365"/>
      <c r="F118" s="353">
        <f ca="1">H116</f>
        <v>27</v>
      </c>
      <c r="G118" s="353"/>
      <c r="H118" s="362"/>
      <c r="I118" s="362"/>
      <c r="J118" s="363"/>
      <c r="K118" s="364"/>
      <c r="L118" s="352"/>
    </row>
    <row r="119" spans="2:24" ht="19.350000000000001" customHeight="1" outlineLevel="4" x14ac:dyDescent="0.65">
      <c r="B119" s="355" t="s">
        <v>192</v>
      </c>
      <c r="C119" s="113" t="s">
        <v>193</v>
      </c>
      <c r="D119" s="366" t="s">
        <v>194</v>
      </c>
      <c r="E119" s="373">
        <f>E113</f>
        <v>619620</v>
      </c>
      <c r="F119" s="373"/>
      <c r="G119" s="374">
        <f ca="1">L117</f>
        <v>3.47</v>
      </c>
      <c r="H119" s="416">
        <f ca="1">E119/(C116^2*IF(Tipo_Seccion_Ale=OCULTOS!$J$17,1,PI()/4))*G119</f>
        <v>234.70238879282766</v>
      </c>
      <c r="I119" s="416"/>
      <c r="J119" s="417" t="str">
        <f ca="1">IF(H119&gt;Acero_Ale,"&gt; ","&lt; ")&amp;Acero_Ale&amp;" MPa, "&amp;IF(H119&gt;Acero_Ale,"NO ","")&amp;"VÁLIDO"</f>
        <v>&lt; 235 MPa, VÁLIDO</v>
      </c>
      <c r="K119" s="417"/>
      <c r="L119" s="417"/>
      <c r="M119" s="417"/>
      <c r="X119" s="133"/>
    </row>
    <row r="120" spans="2:24" ht="14.35" customHeight="1" outlineLevel="4" x14ac:dyDescent="0.5">
      <c r="B120" s="355"/>
      <c r="C120" s="119" t="s">
        <v>21</v>
      </c>
      <c r="D120" s="366"/>
      <c r="E120" s="377" t="str">
        <f ca="1">C116&amp;"²"&amp;IF(Tipo_Seccion_Ale=OCULTOS!$J$17,""," · π / 4")</f>
        <v>108² · π / 4</v>
      </c>
      <c r="F120" s="377"/>
      <c r="G120" s="374"/>
      <c r="H120" s="416"/>
      <c r="I120" s="416"/>
      <c r="J120" s="417"/>
      <c r="K120" s="417"/>
      <c r="L120" s="417"/>
      <c r="M120" s="417"/>
    </row>
    <row r="121" spans="2:24" ht="14.35" customHeight="1" outlineLevel="4" x14ac:dyDescent="0.5">
      <c r="B121" s="146"/>
      <c r="C121" s="119"/>
      <c r="D121" s="5"/>
      <c r="E121" s="148"/>
      <c r="F121" s="148"/>
      <c r="G121" s="147"/>
      <c r="H121" s="149"/>
      <c r="I121" s="149"/>
      <c r="J121" s="150"/>
      <c r="K121" s="150"/>
      <c r="L121" s="150"/>
      <c r="M121" s="150"/>
    </row>
    <row r="122" spans="2:24" outlineLevel="3" x14ac:dyDescent="0.5">
      <c r="B122" s="418" t="str">
        <f ca="1">"Por tanto, el "&amp;D_L&amp;" mínimo definitivo, para la máxima carga de compresión es d = "&amp;C116&amp;" mm."</f>
        <v>Por tanto, el diámetro mínimo definitivo, para la máxima carga de compresión es d = 108 mm.</v>
      </c>
      <c r="C122" s="418"/>
      <c r="D122" s="418"/>
      <c r="E122" s="418"/>
      <c r="F122" s="418"/>
      <c r="G122" s="418"/>
      <c r="H122" s="418"/>
      <c r="I122" s="418"/>
      <c r="J122" s="418"/>
      <c r="K122" s="418"/>
      <c r="L122" s="418"/>
      <c r="M122" s="418"/>
    </row>
    <row r="123" spans="2:24" outlineLevel="1" x14ac:dyDescent="0.5"/>
    <row r="124" spans="2:24" x14ac:dyDescent="0.5"/>
    <row r="125" spans="2:24" x14ac:dyDescent="0.5"/>
    <row r="126" spans="2:24" x14ac:dyDescent="0.5"/>
    <row r="127" spans="2:24" x14ac:dyDescent="0.5"/>
    <row r="128" spans="2:24" x14ac:dyDescent="0.5"/>
    <row r="129" x14ac:dyDescent="0.5"/>
    <row r="130" x14ac:dyDescent="0.5"/>
    <row r="131" x14ac:dyDescent="0.5"/>
    <row r="132" x14ac:dyDescent="0.5"/>
    <row r="133" x14ac:dyDescent="0.5"/>
    <row r="134" x14ac:dyDescent="0.5"/>
    <row r="135" x14ac:dyDescent="0.5"/>
    <row r="136" x14ac:dyDescent="0.5"/>
    <row r="137" x14ac:dyDescent="0.5"/>
    <row r="138" x14ac:dyDescent="0.5"/>
    <row r="139" x14ac:dyDescent="0.5"/>
    <row r="140" x14ac:dyDescent="0.5"/>
    <row r="141" x14ac:dyDescent="0.5"/>
    <row r="142" x14ac:dyDescent="0.5"/>
    <row r="143" x14ac:dyDescent="0.5"/>
    <row r="144" x14ac:dyDescent="0.5"/>
    <row r="145" x14ac:dyDescent="0.5"/>
    <row r="146" x14ac:dyDescent="0.5"/>
    <row r="147" x14ac:dyDescent="0.5"/>
    <row r="148" x14ac:dyDescent="0.5"/>
    <row r="149" x14ac:dyDescent="0.5"/>
    <row r="150" x14ac:dyDescent="0.5"/>
    <row r="151" x14ac:dyDescent="0.5"/>
    <row r="152" x14ac:dyDescent="0.5"/>
    <row r="153" x14ac:dyDescent="0.5"/>
    <row r="154" x14ac:dyDescent="0.5"/>
    <row r="155" x14ac:dyDescent="0.5"/>
    <row r="156" x14ac:dyDescent="0.5"/>
    <row r="157" x14ac:dyDescent="0.5"/>
    <row r="158" x14ac:dyDescent="0.5"/>
    <row r="159" x14ac:dyDescent="0.5"/>
    <row r="160" x14ac:dyDescent="0.5"/>
    <row r="161" x14ac:dyDescent="0.5"/>
    <row r="162" x14ac:dyDescent="0.5"/>
    <row r="163" x14ac:dyDescent="0.5"/>
    <row r="164" x14ac:dyDescent="0.5"/>
    <row r="165" x14ac:dyDescent="0.5"/>
    <row r="166" x14ac:dyDescent="0.5"/>
    <row r="167" x14ac:dyDescent="0.5"/>
    <row r="168" x14ac:dyDescent="0.5"/>
    <row r="169" x14ac:dyDescent="0.5"/>
    <row r="170" x14ac:dyDescent="0.5"/>
    <row r="171" x14ac:dyDescent="0.5"/>
    <row r="172" x14ac:dyDescent="0.5"/>
    <row r="173" x14ac:dyDescent="0.5"/>
    <row r="174" x14ac:dyDescent="0.5"/>
    <row r="175" x14ac:dyDescent="0.5"/>
    <row r="176" x14ac:dyDescent="0.5"/>
    <row r="177" x14ac:dyDescent="0.5"/>
    <row r="178" x14ac:dyDescent="0.5"/>
    <row r="179" x14ac:dyDescent="0.5"/>
    <row r="180" x14ac:dyDescent="0.5"/>
    <row r="181" x14ac:dyDescent="0.5"/>
    <row r="182" x14ac:dyDescent="0.5"/>
    <row r="183" x14ac:dyDescent="0.5"/>
    <row r="184" x14ac:dyDescent="0.5"/>
    <row r="185" x14ac:dyDescent="0.5"/>
    <row r="186" x14ac:dyDescent="0.5"/>
    <row r="187" x14ac:dyDescent="0.5"/>
    <row r="188" x14ac:dyDescent="0.5"/>
    <row r="189" x14ac:dyDescent="0.5"/>
    <row r="190" x14ac:dyDescent="0.5"/>
    <row r="191" x14ac:dyDescent="0.5"/>
    <row r="192" x14ac:dyDescent="0.5"/>
    <row r="193" x14ac:dyDescent="0.5"/>
    <row r="194" x14ac:dyDescent="0.5"/>
    <row r="195" x14ac:dyDescent="0.5"/>
    <row r="196" x14ac:dyDescent="0.5"/>
    <row r="197" x14ac:dyDescent="0.5"/>
    <row r="198" x14ac:dyDescent="0.5"/>
    <row r="199" x14ac:dyDescent="0.5"/>
    <row r="200" x14ac:dyDescent="0.5"/>
    <row r="201" x14ac:dyDescent="0.5"/>
    <row r="202" x14ac:dyDescent="0.5"/>
    <row r="203" x14ac:dyDescent="0.5"/>
    <row r="204" x14ac:dyDescent="0.5"/>
    <row r="205" x14ac:dyDescent="0.5"/>
    <row r="206" x14ac:dyDescent="0.5"/>
    <row r="207" x14ac:dyDescent="0.5"/>
    <row r="208" x14ac:dyDescent="0.5"/>
    <row r="209" x14ac:dyDescent="0.5"/>
    <row r="210" x14ac:dyDescent="0.5"/>
    <row r="211" x14ac:dyDescent="0.5"/>
    <row r="212" x14ac:dyDescent="0.5"/>
    <row r="213" x14ac:dyDescent="0.5"/>
    <row r="214" x14ac:dyDescent="0.5"/>
    <row r="215" x14ac:dyDescent="0.5"/>
    <row r="216" x14ac:dyDescent="0.5"/>
    <row r="217" x14ac:dyDescent="0.5"/>
    <row r="218" x14ac:dyDescent="0.5"/>
    <row r="219" x14ac:dyDescent="0.5"/>
    <row r="220" x14ac:dyDescent="0.5"/>
    <row r="221" x14ac:dyDescent="0.5"/>
    <row r="222" x14ac:dyDescent="0.5"/>
    <row r="223" x14ac:dyDescent="0.5"/>
    <row r="224" x14ac:dyDescent="0.5"/>
  </sheetData>
  <sheetProtection algorithmName="SHA-512" hashValue="DTbnh0nz6wGb1RL9B6vERP9gNbI8K8JnaD9HyoCaVI8SMi8q96xwwJQF/tV9W5jHf30y0kYTA4HQWvu3y8ZK9A==" saltValue="HhhqjyfGe/W+GkxXEKN40Q==" spinCount="100000" sheet="1" objects="1" scenarios="1" formatRows="0" selectLockedCells="1"/>
  <mergeCells count="225">
    <mergeCell ref="O12:S13"/>
    <mergeCell ref="P9:Q9"/>
    <mergeCell ref="P10:Q10"/>
    <mergeCell ref="R9:S9"/>
    <mergeCell ref="R10:S10"/>
    <mergeCell ref="R1:S1"/>
    <mergeCell ref="U7:X8"/>
    <mergeCell ref="Q2:S2"/>
    <mergeCell ref="Q3:S4"/>
    <mergeCell ref="P6:S6"/>
    <mergeCell ref="Q8:R8"/>
    <mergeCell ref="Q7:S7"/>
    <mergeCell ref="O11:S11"/>
    <mergeCell ref="B122:M122"/>
    <mergeCell ref="B107:M107"/>
    <mergeCell ref="C116:D116"/>
    <mergeCell ref="F116:G116"/>
    <mergeCell ref="H116:I116"/>
    <mergeCell ref="C117:C118"/>
    <mergeCell ref="E117:E118"/>
    <mergeCell ref="F117:G117"/>
    <mergeCell ref="H117:I118"/>
    <mergeCell ref="J117:J118"/>
    <mergeCell ref="K117:K118"/>
    <mergeCell ref="L117:L118"/>
    <mergeCell ref="F118:G118"/>
    <mergeCell ref="C110:D110"/>
    <mergeCell ref="F110:G110"/>
    <mergeCell ref="H110:I110"/>
    <mergeCell ref="B38:M38"/>
    <mergeCell ref="E41:G41"/>
    <mergeCell ref="B92:B93"/>
    <mergeCell ref="E92:F92"/>
    <mergeCell ref="G92:G93"/>
    <mergeCell ref="H92:I93"/>
    <mergeCell ref="B119:B120"/>
    <mergeCell ref="D119:D120"/>
    <mergeCell ref="E119:F119"/>
    <mergeCell ref="G119:G120"/>
    <mergeCell ref="H119:I120"/>
    <mergeCell ref="B97:B98"/>
    <mergeCell ref="E97:F97"/>
    <mergeCell ref="G97:G98"/>
    <mergeCell ref="H97:I98"/>
    <mergeCell ref="E106:F106"/>
    <mergeCell ref="B100:M100"/>
    <mergeCell ref="B109:M109"/>
    <mergeCell ref="L95:L96"/>
    <mergeCell ref="F96:G96"/>
    <mergeCell ref="J119:M120"/>
    <mergeCell ref="E120:F120"/>
    <mergeCell ref="C94:D94"/>
    <mergeCell ref="F94:G94"/>
    <mergeCell ref="H94:I94"/>
    <mergeCell ref="F95:G95"/>
    <mergeCell ref="H84:I85"/>
    <mergeCell ref="B82:M82"/>
    <mergeCell ref="B81:M81"/>
    <mergeCell ref="G79:G80"/>
    <mergeCell ref="H79:I80"/>
    <mergeCell ref="J79:M80"/>
    <mergeCell ref="B79:B80"/>
    <mergeCell ref="C79:D80"/>
    <mergeCell ref="E79:F79"/>
    <mergeCell ref="E80:F80"/>
    <mergeCell ref="J95:J96"/>
    <mergeCell ref="K95:K96"/>
    <mergeCell ref="B88:M88"/>
    <mergeCell ref="E84:E85"/>
    <mergeCell ref="C84:C85"/>
    <mergeCell ref="D86:D87"/>
    <mergeCell ref="J86:M87"/>
    <mergeCell ref="H86:I87"/>
    <mergeCell ref="K84:K85"/>
    <mergeCell ref="L84:L85"/>
    <mergeCell ref="G86:G87"/>
    <mergeCell ref="B86:B87"/>
    <mergeCell ref="B59:M59"/>
    <mergeCell ref="B58:M58"/>
    <mergeCell ref="E55:G55"/>
    <mergeCell ref="I68:J68"/>
    <mergeCell ref="C64:D64"/>
    <mergeCell ref="C60:D60"/>
    <mergeCell ref="H61:I61"/>
    <mergeCell ref="G64:H64"/>
    <mergeCell ref="C75:D75"/>
    <mergeCell ref="F73:G73"/>
    <mergeCell ref="G66:H66"/>
    <mergeCell ref="G67:H67"/>
    <mergeCell ref="I66:J67"/>
    <mergeCell ref="B69:M69"/>
    <mergeCell ref="K72:L72"/>
    <mergeCell ref="B65:M65"/>
    <mergeCell ref="B62:M62"/>
    <mergeCell ref="J60:L61"/>
    <mergeCell ref="B63:M63"/>
    <mergeCell ref="J64:K64"/>
    <mergeCell ref="C61:D61"/>
    <mergeCell ref="H60:I60"/>
    <mergeCell ref="C73:D73"/>
    <mergeCell ref="B70:M70"/>
    <mergeCell ref="E29:M29"/>
    <mergeCell ref="E44:K44"/>
    <mergeCell ref="E45:K45"/>
    <mergeCell ref="E49:K49"/>
    <mergeCell ref="E50:K50"/>
    <mergeCell ref="E54:K54"/>
    <mergeCell ref="E46:G46"/>
    <mergeCell ref="E47:G47"/>
    <mergeCell ref="E51:G51"/>
    <mergeCell ref="B48:M48"/>
    <mergeCell ref="E42:G42"/>
    <mergeCell ref="E39:K39"/>
    <mergeCell ref="E40:K40"/>
    <mergeCell ref="B53:M53"/>
    <mergeCell ref="E52:G52"/>
    <mergeCell ref="E33:M33"/>
    <mergeCell ref="E30:M30"/>
    <mergeCell ref="B43:M43"/>
    <mergeCell ref="E32:M32"/>
    <mergeCell ref="B34:M34"/>
    <mergeCell ref="D36:M36"/>
    <mergeCell ref="E35:M35"/>
    <mergeCell ref="B37:M37"/>
    <mergeCell ref="B31:M31"/>
    <mergeCell ref="B27:M27"/>
    <mergeCell ref="D12:E12"/>
    <mergeCell ref="D13:E13"/>
    <mergeCell ref="B4:M4"/>
    <mergeCell ref="B5:M5"/>
    <mergeCell ref="B6:M6"/>
    <mergeCell ref="B7:M8"/>
    <mergeCell ref="J12:K12"/>
    <mergeCell ref="B28:M28"/>
    <mergeCell ref="B9:M10"/>
    <mergeCell ref="F72:G72"/>
    <mergeCell ref="K71:L71"/>
    <mergeCell ref="H83:I83"/>
    <mergeCell ref="B78:M78"/>
    <mergeCell ref="J76:K76"/>
    <mergeCell ref="J77:K77"/>
    <mergeCell ref="I76:I77"/>
    <mergeCell ref="F76:G76"/>
    <mergeCell ref="F77:G77"/>
    <mergeCell ref="C74:D74"/>
    <mergeCell ref="I73:M75"/>
    <mergeCell ref="C76:D76"/>
    <mergeCell ref="C77:D77"/>
    <mergeCell ref="L76:M77"/>
    <mergeCell ref="C83:D83"/>
    <mergeCell ref="F83:G83"/>
    <mergeCell ref="F74:G74"/>
    <mergeCell ref="F75:G75"/>
    <mergeCell ref="A2:A3"/>
    <mergeCell ref="A4:A8"/>
    <mergeCell ref="N4:N8"/>
    <mergeCell ref="E111:E112"/>
    <mergeCell ref="F111:G111"/>
    <mergeCell ref="H111:I112"/>
    <mergeCell ref="J111:J112"/>
    <mergeCell ref="K111:K112"/>
    <mergeCell ref="L111:L112"/>
    <mergeCell ref="F112:G112"/>
    <mergeCell ref="C101:D101"/>
    <mergeCell ref="F101:G101"/>
    <mergeCell ref="H101:I101"/>
    <mergeCell ref="C102:C103"/>
    <mergeCell ref="E102:E103"/>
    <mergeCell ref="F102:G102"/>
    <mergeCell ref="H102:I103"/>
    <mergeCell ref="J102:J103"/>
    <mergeCell ref="K102:K103"/>
    <mergeCell ref="H95:I96"/>
    <mergeCell ref="E86:F86"/>
    <mergeCell ref="E87:F87"/>
    <mergeCell ref="F84:G84"/>
    <mergeCell ref="F85:G85"/>
    <mergeCell ref="B1:J1"/>
    <mergeCell ref="K1:M1"/>
    <mergeCell ref="B2:M3"/>
    <mergeCell ref="N2:N3"/>
    <mergeCell ref="B113:B114"/>
    <mergeCell ref="D113:D114"/>
    <mergeCell ref="E113:F113"/>
    <mergeCell ref="G113:G114"/>
    <mergeCell ref="H113:I114"/>
    <mergeCell ref="J113:M114"/>
    <mergeCell ref="E114:F114"/>
    <mergeCell ref="D105:D106"/>
    <mergeCell ref="E105:F105"/>
    <mergeCell ref="G105:G106"/>
    <mergeCell ref="H105:I106"/>
    <mergeCell ref="J105:M106"/>
    <mergeCell ref="J97:M98"/>
    <mergeCell ref="E98:F98"/>
    <mergeCell ref="C95:C96"/>
    <mergeCell ref="E95:E96"/>
    <mergeCell ref="D97:D98"/>
    <mergeCell ref="J84:J85"/>
    <mergeCell ref="J92:M93"/>
    <mergeCell ref="E93:F93"/>
    <mergeCell ref="V70:Y70"/>
    <mergeCell ref="V69:Y69"/>
    <mergeCell ref="L102:L103"/>
    <mergeCell ref="F103:G103"/>
    <mergeCell ref="B99:M99"/>
    <mergeCell ref="C111:C112"/>
    <mergeCell ref="B105:B106"/>
    <mergeCell ref="O81:S81"/>
    <mergeCell ref="B115:M115"/>
    <mergeCell ref="C89:D89"/>
    <mergeCell ref="F89:G89"/>
    <mergeCell ref="H89:I89"/>
    <mergeCell ref="F90:G90"/>
    <mergeCell ref="H90:I91"/>
    <mergeCell ref="J90:J91"/>
    <mergeCell ref="K90:K91"/>
    <mergeCell ref="L90:L91"/>
    <mergeCell ref="F91:G91"/>
    <mergeCell ref="C90:C91"/>
    <mergeCell ref="E90:E91"/>
    <mergeCell ref="D92:D93"/>
    <mergeCell ref="C71:D71"/>
    <mergeCell ref="C72:D72"/>
    <mergeCell ref="F71:G71"/>
  </mergeCells>
  <conditionalFormatting sqref="B115">
    <cfRule type="expression" dxfId="66" priority="37">
      <formula>$F$102=0</formula>
    </cfRule>
    <cfRule type="expression" dxfId="65" priority="38">
      <formula>$F$84&gt;=MAX($F$71:$G$77)</formula>
    </cfRule>
  </conditionalFormatting>
  <conditionalFormatting sqref="B79:M80">
    <cfRule type="expression" dxfId="64" priority="50">
      <formula>$L$76&lt;=Acero_Ale</formula>
    </cfRule>
  </conditionalFormatting>
  <conditionalFormatting sqref="B81:E81">
    <cfRule type="expression" dxfId="63" priority="36">
      <formula>K72=0</formula>
    </cfRule>
  </conditionalFormatting>
  <conditionalFormatting sqref="B82:M83 C84:M84 B84:B85 D85 F85:M85 B86:C86 D86:M87 C87 B88:M89 C90:E90 B90:B91 F90:M91 D91 B92:C92 D92:M93 C93 B94:M94 C95:E95 B95:B96 F95:M96 D96:D98 B97:C97 E97:M98 C98 B109 B110:M114 B115 B116:M122">
    <cfRule type="expression" dxfId="62" priority="72">
      <formula>$K$72=0</formula>
    </cfRule>
  </conditionalFormatting>
  <conditionalFormatting sqref="B89:M99">
    <cfRule type="expression" dxfId="61" priority="35">
      <formula>$H$86&lt;Acero_Ale</formula>
    </cfRule>
  </conditionalFormatting>
  <conditionalFormatting sqref="B101:M103 C104 E104:G104 K104:L104 B105:M108 B109">
    <cfRule type="expression" dxfId="60" priority="43">
      <formula>$F$84&gt;=MAX($F$71:$G$77)</formula>
    </cfRule>
  </conditionalFormatting>
  <conditionalFormatting sqref="B101:M108 B109">
    <cfRule type="expression" dxfId="59" priority="40">
      <formula>$F$102=0</formula>
    </cfRule>
  </conditionalFormatting>
  <conditionalFormatting sqref="B105:M106">
    <cfRule type="expression" dxfId="58" priority="41">
      <formula>$L$102=0</formula>
    </cfRule>
  </conditionalFormatting>
  <conditionalFormatting sqref="B107:M108">
    <cfRule type="expression" dxfId="57" priority="60">
      <formula>$K$72=0</formula>
    </cfRule>
  </conditionalFormatting>
  <conditionalFormatting sqref="B110:M114 B116:M122">
    <cfRule type="expression" dxfId="56" priority="63">
      <formula>$C$101=$C$110</formula>
    </cfRule>
  </conditionalFormatting>
  <conditionalFormatting sqref="B115:M115">
    <cfRule type="expression" dxfId="55" priority="34">
      <formula>$H$113&lt;Acero_Ale</formula>
    </cfRule>
  </conditionalFormatting>
  <conditionalFormatting sqref="B116:M122">
    <cfRule type="expression" dxfId="54" priority="33">
      <formula>$H$113&lt;Acero_Ale</formula>
    </cfRule>
  </conditionalFormatting>
  <conditionalFormatting sqref="E86:F87 H92 E92:F93 E97:F97">
    <cfRule type="expression" dxfId="53" priority="59">
      <formula>$B$81=0</formula>
    </cfRule>
  </conditionalFormatting>
  <conditionalFormatting sqref="E113:F113">
    <cfRule type="expression" dxfId="52" priority="53">
      <formula>$K$72=0</formula>
    </cfRule>
    <cfRule type="expression" dxfId="51" priority="54">
      <formula>$B$81=0</formula>
    </cfRule>
  </conditionalFormatting>
  <conditionalFormatting sqref="E119:F119">
    <cfRule type="expression" dxfId="50" priority="56">
      <formula>$B$81=0</formula>
    </cfRule>
  </conditionalFormatting>
  <conditionalFormatting sqref="E119:M121">
    <cfRule type="expression" dxfId="49" priority="55">
      <formula>$K$72=0</formula>
    </cfRule>
  </conditionalFormatting>
  <conditionalFormatting sqref="H86">
    <cfRule type="expression" dxfId="48" priority="78">
      <formula>$B$81=0</formula>
    </cfRule>
  </conditionalFormatting>
  <conditionalFormatting sqref="H97">
    <cfRule type="expression" dxfId="47" priority="47">
      <formula>$B$81=0</formula>
    </cfRule>
    <cfRule type="expression" dxfId="46" priority="73">
      <formula>$K$72=0</formula>
    </cfRule>
  </conditionalFormatting>
  <conditionalFormatting sqref="H113">
    <cfRule type="expression" dxfId="45" priority="66">
      <formula>$K$72=0</formula>
    </cfRule>
  </conditionalFormatting>
  <conditionalFormatting sqref="K71:L72">
    <cfRule type="cellIs" dxfId="44" priority="39" operator="equal">
      <formula>0</formula>
    </cfRule>
  </conditionalFormatting>
  <conditionalFormatting sqref="L39:L40 L44:L45 L49:L50">
    <cfRule type="cellIs" dxfId="43" priority="106" operator="lessThan">
      <formula>0</formula>
    </cfRule>
  </conditionalFormatting>
  <conditionalFormatting sqref="L54">
    <cfRule type="cellIs" dxfId="42" priority="51" operator="lessThan">
      <formula>0</formula>
    </cfRule>
  </conditionalFormatting>
  <conditionalFormatting sqref="L102:L103">
    <cfRule type="cellIs" dxfId="41" priority="42" operator="equal">
      <formula>0</formula>
    </cfRule>
  </conditionalFormatting>
  <conditionalFormatting sqref="Q3 O6:S7 Q8:S8 Q2">
    <cfRule type="expression" dxfId="40" priority="32">
      <formula>D_Fijos=_NO</formula>
    </cfRule>
  </conditionalFormatting>
  <conditionalFormatting sqref="F81:J81">
    <cfRule type="expression" dxfId="39" priority="108">
      <formula>T72=0</formula>
    </cfRule>
  </conditionalFormatting>
  <conditionalFormatting sqref="K81:M81">
    <cfRule type="expression" dxfId="38" priority="109">
      <formula>#REF!=0</formula>
    </cfRule>
  </conditionalFormatting>
  <conditionalFormatting sqref="C79 E79:G80 I76:I77 J79 J77:K77 B79:B80 J76:L76">
    <cfRule type="expression" dxfId="37" priority="110">
      <formula>$T$71=_NO</formula>
    </cfRule>
  </conditionalFormatting>
  <conditionalFormatting sqref="G79:I80">
    <cfRule type="expression" dxfId="36" priority="112">
      <formula>$T$71=_NO</formula>
    </cfRule>
    <cfRule type="cellIs" dxfId="35" priority="113" operator="greaterThan">
      <formula>d_min_esb</formula>
    </cfRule>
  </conditionalFormatting>
  <conditionalFormatting sqref="B2:M3">
    <cfRule type="containsText" dxfId="34" priority="23" operator="containsText" text="SELECCIONA">
      <formula>NOT(ISERROR(SEARCH("SELECCIONA",B2)))</formula>
    </cfRule>
  </conditionalFormatting>
  <conditionalFormatting sqref="B82:M123">
    <cfRule type="expression" dxfId="33" priority="21">
      <formula>$M$71=V_Excel</formula>
    </cfRule>
  </conditionalFormatting>
  <conditionalFormatting sqref="M71:M72">
    <cfRule type="expression" dxfId="32" priority="20">
      <formula>$M$71=V_Excel</formula>
    </cfRule>
  </conditionalFormatting>
  <conditionalFormatting sqref="P8">
    <cfRule type="expression" dxfId="31" priority="19">
      <formula>OR(AND(Salto="",D_Fijos=_NO),AND(Salto="",D_Fijos=_OK,IF(_xlfn.ISFORMULA(Nombre_Datos),_OK,_NO)=_OK))</formula>
    </cfRule>
  </conditionalFormatting>
  <conditionalFormatting sqref="Q8:S8">
    <cfRule type="expression" dxfId="30" priority="12">
      <formula>$W$4=_NO</formula>
    </cfRule>
  </conditionalFormatting>
  <conditionalFormatting sqref="Q7">
    <cfRule type="expression" dxfId="29" priority="10">
      <formula>"SUMA(D34:D61;I34:I61;N34:N61)=0"</formula>
    </cfRule>
  </conditionalFormatting>
  <conditionalFormatting sqref="Q7">
    <cfRule type="expression" dxfId="28" priority="8">
      <formula>$W$4=_NO</formula>
    </cfRule>
  </conditionalFormatting>
  <conditionalFormatting sqref="P7">
    <cfRule type="cellIs" dxfId="27" priority="801" operator="notEqual">
      <formula>N_Preg_FTP</formula>
    </cfRule>
  </conditionalFormatting>
  <conditionalFormatting sqref="Q7">
    <cfRule type="expression" dxfId="26" priority="802">
      <formula>AND(#REF!=0,AND(#REF!&lt;&gt;"",#REF!&lt;&gt;0))</formula>
    </cfRule>
  </conditionalFormatting>
  <conditionalFormatting sqref="Q3 N7:S7 Q8:S8">
    <cfRule type="expression" dxfId="25" priority="6" stopIfTrue="1">
      <formula>IF(_xlfn.ISFORMULA(Nombre_Datos),_xlfn.FORMULATEXT(Nombre_Datos),_NO)=_NO</formula>
    </cfRule>
  </conditionalFormatting>
  <conditionalFormatting sqref="O5:P5">
    <cfRule type="expression" dxfId="24" priority="5">
      <formula>$P$4=_OK</formula>
    </cfRule>
  </conditionalFormatting>
  <conditionalFormatting sqref="B9:M10">
    <cfRule type="expression" dxfId="23" priority="4">
      <formula>$B$9&lt;&gt;$U$6</formula>
    </cfRule>
  </conditionalFormatting>
  <dataValidations count="7">
    <dataValidation type="list" allowBlank="1" showInputMessage="1" showErrorMessage="1" sqref="P8" xr:uid="{C414875C-7BC7-4403-9CD6-9392C24EF4FE}">
      <formula1>SALTOS_FTP_</formula1>
    </dataValidation>
    <dataValidation allowBlank="1" showDropDown="1" showInputMessage="1" showErrorMessage="1" sqref="P7" xr:uid="{00000000-0002-0000-0100-000001000000}"/>
    <dataValidation type="list" allowBlank="1" showInputMessage="1" showErrorMessage="1" sqref="P8" xr:uid="{83208363-FCC9-4985-84F0-08914CF187A8}">
      <formula1>"SÍ,NO"</formula1>
    </dataValidation>
    <dataValidation type="list" allowBlank="1" showInputMessage="1" showErrorMessage="1" sqref="P2:P4" xr:uid="{00000000-0002-0000-0100-000004000000}">
      <formula1>SI_NO</formula1>
    </dataValidation>
    <dataValidation type="whole" allowBlank="1" showInputMessage="1" showErrorMessage="1" errorTitle="ERROR" error="Debes introducir un número mayor o igual a 1" sqref="P5 S8" xr:uid="{BE368434-4988-4C17-B2BE-BA389B1B6280}">
      <formula1>1</formula1>
      <formula2>1000</formula2>
    </dataValidation>
    <dataValidation type="list" allowBlank="1" showInputMessage="1" promptTitle="Nombre Archivo FasTest PlugIn" prompt="Nombre del archivo Excel que tienes para la aplicación FastTest PlugIn._x000a_Si no has cambiado el nombre, selecciónalo de la lista desplegable." sqref="Q3" xr:uid="{FC9B5823-B4EB-4A93-9519-83976C1C8098}">
      <formula1>"FastTest PlugIn"</formula1>
    </dataValidation>
    <dataValidation type="list" errorStyle="warning" allowBlank="1" showInputMessage="1" showErrorMessage="1" sqref="P6:S6" xr:uid="{CC2E9C6D-B709-46D7-9369-20E5FE1F35A5}">
      <formula1>Lista_Datos</formula1>
    </dataValidation>
  </dataValidations>
  <printOptions horizontalCentered="1"/>
  <pageMargins left="0.59055118110236227" right="0.59055118110236227" top="0.59055118110236227" bottom="0.39370078740157483" header="0.59055118110236227" footer="0.39370078740157483"/>
  <pageSetup paperSize="9" scale="110" fitToHeight="100" orientation="portrait" horizontalDpi="4294967295" verticalDpi="4294967295" r:id="rId1"/>
  <headerFooter>
    <oddHeader>&amp;RPag &amp;P             &amp;K00+000.</oddHeader>
    <oddFooter>&amp;CElaborado por Milagros Huerta GM (UCA)</oddFooter>
  </headerFooter>
  <rowBreaks count="4" manualBreakCount="4">
    <brk id="36" max="13" man="1"/>
    <brk id="57" max="13" man="1"/>
    <brk id="80" max="13" man="1"/>
    <brk id="108" max="13" man="1"/>
  </rowBreaks>
  <cellWatches>
    <cellWatch r="H102"/>
    <cellWatch r="I102"/>
    <cellWatch r="H103"/>
    <cellWatch r="I103"/>
    <cellWatch r="C104"/>
  </cellWatches>
  <drawing r:id="rId2"/>
  <legacyDrawing r:id="rId3"/>
  <extLst>
    <ext xmlns:x14="http://schemas.microsoft.com/office/spreadsheetml/2009/9/main" uri="{78C0D931-6437-407d-A8EE-F0AAD7539E65}">
      <x14:conditionalFormattings>
        <x14:conditionalFormatting xmlns:xm="http://schemas.microsoft.com/office/excel/2006/main">
          <x14:cfRule type="cellIs" priority="1" stopIfTrue="1" operator="greaterThan" id="{D6BF2A3B-20A4-4BCB-A526-D29A73F7E406}">
            <xm:f>'DATOS FIJOS'!$A$1</xm:f>
            <x14:dxf>
              <font>
                <color rgb="FF9C0006"/>
              </font>
              <fill>
                <patternFill>
                  <bgColor rgb="FFFFC7CE"/>
                </patternFill>
              </fill>
            </x14:dxf>
          </x14:cfRule>
          <xm:sqref>S8</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published="0" codeName="g_Ocultos">
    <tabColor rgb="FFFF0000"/>
  </sheetPr>
  <dimension ref="A1:Z384"/>
  <sheetViews>
    <sheetView showGridLines="0" showRowColHeaders="0" zoomScale="82" zoomScaleNormal="65" workbookViewId="0">
      <selection activeCell="S17" sqref="S17:U17"/>
    </sheetView>
  </sheetViews>
  <sheetFormatPr baseColWidth="10" defaultRowHeight="14.35" x14ac:dyDescent="0.5"/>
  <cols>
    <col min="1" max="1" width="9.703125" customWidth="1"/>
    <col min="3" max="3" width="6" customWidth="1"/>
    <col min="4" max="4" width="6.41015625" bestFit="1" customWidth="1"/>
    <col min="5" max="5" width="7.5859375" customWidth="1"/>
    <col min="6" max="7" width="9.1171875" customWidth="1"/>
    <col min="8" max="8" width="8.41015625" customWidth="1"/>
    <col min="9" max="9" width="6.41015625" customWidth="1"/>
    <col min="10" max="10" width="20.234375" customWidth="1"/>
    <col min="12" max="12" width="12.1171875" customWidth="1"/>
    <col min="13" max="13" width="4.9375" customWidth="1"/>
    <col min="14" max="14" width="3.41015625" customWidth="1"/>
    <col min="15" max="15" width="5.703125" customWidth="1"/>
    <col min="16" max="17" width="3.41015625" customWidth="1"/>
    <col min="18" max="23" width="8.05859375" customWidth="1"/>
    <col min="24" max="24" width="8.234375" bestFit="1" customWidth="1"/>
    <col min="25" max="25" width="16.41015625" customWidth="1"/>
    <col min="26" max="26" width="8.703125" customWidth="1"/>
    <col min="27" max="37" width="9.9375" customWidth="1"/>
  </cols>
  <sheetData>
    <row r="1" spans="1:26" ht="14.7" thickBot="1" x14ac:dyDescent="0.55000000000000004">
      <c r="A1" s="17" t="s">
        <v>11</v>
      </c>
      <c r="B1" s="18"/>
      <c r="C1" s="18"/>
      <c r="D1" s="14"/>
      <c r="E1" s="7" t="s">
        <v>34</v>
      </c>
      <c r="I1" s="17" t="s">
        <v>15</v>
      </c>
      <c r="J1" s="18"/>
      <c r="K1" s="14"/>
    </row>
    <row r="2" spans="1:26" ht="14.7" thickBot="1" x14ac:dyDescent="0.55000000000000004">
      <c r="A2" s="81" t="s">
        <v>6</v>
      </c>
      <c r="B2" s="189">
        <f>IF(Ver_Datos=_OK,L_,"Longitud")</f>
        <v>4</v>
      </c>
      <c r="C2" t="s">
        <v>125</v>
      </c>
      <c r="D2" s="156" t="str">
        <f t="shared" ref="D2:D14" si="0">IF(B2="","",IF(Salto="","",Tab)&amp;";"&amp;IF(Salto="","",Tab))</f>
        <v>;</v>
      </c>
      <c r="F2" s="12" t="s">
        <v>33</v>
      </c>
      <c r="G2" s="12" t="s">
        <v>30</v>
      </c>
      <c r="I2" s="13" t="s">
        <v>12</v>
      </c>
      <c r="J2" s="90">
        <v>11111</v>
      </c>
      <c r="K2" s="14"/>
    </row>
    <row r="3" spans="1:26" x14ac:dyDescent="0.5">
      <c r="A3" s="82" t="s">
        <v>7</v>
      </c>
      <c r="B3" s="190">
        <f>IF(Ver_Datos=_OK,h_,"h")</f>
        <v>1.1547005383792515</v>
      </c>
      <c r="C3" t="s">
        <v>125</v>
      </c>
      <c r="D3" s="211" t="str">
        <f t="shared" si="0"/>
        <v>;</v>
      </c>
      <c r="F3" s="23" t="s">
        <v>28</v>
      </c>
      <c r="G3" s="23" t="s">
        <v>31</v>
      </c>
      <c r="I3" s="19" t="s">
        <v>13</v>
      </c>
      <c r="J3" s="91">
        <v>111111</v>
      </c>
      <c r="K3" s="16"/>
    </row>
    <row r="4" spans="1:26" ht="14.7" thickBot="1" x14ac:dyDescent="0.55000000000000004">
      <c r="A4" s="83" t="s">
        <v>8</v>
      </c>
      <c r="B4" s="191">
        <f>IF(Ver_Datos=_OK,d_,"d")</f>
        <v>60</v>
      </c>
      <c r="C4" s="74" t="s">
        <v>126</v>
      </c>
      <c r="D4" s="212" t="str">
        <f t="shared" si="0"/>
        <v>;</v>
      </c>
      <c r="F4" s="24" t="s">
        <v>29</v>
      </c>
      <c r="G4" s="24" t="s">
        <v>32</v>
      </c>
      <c r="I4" s="19" t="s">
        <v>14</v>
      </c>
      <c r="J4" s="92">
        <v>111111</v>
      </c>
      <c r="K4" s="16"/>
    </row>
    <row r="5" spans="1:26" ht="14.7" thickBot="1" x14ac:dyDescent="0.55000000000000004">
      <c r="A5" s="192" t="str">
        <f ca="1">IF(B5="",""," Pv "&amp;E10&amp;" = ")</f>
        <v xml:space="preserve"> Pv A = </v>
      </c>
      <c r="B5" s="193" t="str" cm="1">
        <f t="array" aca="1" ref="B5" ca="1">IF(INDIRECT(F$9&amp;$E10)&lt;&gt;0,ABS(INDIRECT(F$9&amp;$E10))&amp;" kN "&amp;IF(INDIRECT(F$9&amp;$E10)&gt;0,_Arriba,_Abajo),"")</f>
        <v>100 kN ↑</v>
      </c>
      <c r="C5" s="8"/>
      <c r="D5" s="156" t="str">
        <f t="shared" ca="1" si="0"/>
        <v>;</v>
      </c>
      <c r="E5" s="7" t="str">
        <f ca="1">A5&amp;B5&amp;C5&amp;D5&amp; A6&amp;B6&amp;C6&amp;D6&amp; A7&amp;B7&amp;C7&amp;D7&amp; A8&amp;B8&amp;C8&amp;D8&amp; A9&amp;B9&amp;C9&amp;D9</f>
        <v xml:space="preserve"> Pv A = 100 kN ↑; Pv D = 100 kN ↑; Pv E = 150 kN ↓;</v>
      </c>
      <c r="I5" s="15" t="s">
        <v>190</v>
      </c>
      <c r="J5" s="20"/>
      <c r="K5" s="21"/>
      <c r="Q5" s="61" t="s">
        <v>72</v>
      </c>
      <c r="R5" s="437" t="s">
        <v>54</v>
      </c>
      <c r="S5" s="438"/>
      <c r="T5" s="438"/>
      <c r="U5" s="438"/>
      <c r="V5" s="439"/>
      <c r="W5" s="69" t="s">
        <v>73</v>
      </c>
    </row>
    <row r="6" spans="1:26" x14ac:dyDescent="0.5">
      <c r="A6" s="194" t="str">
        <f ca="1">IF(B6="",""," Pv "&amp;E11&amp;" = ")</f>
        <v/>
      </c>
      <c r="B6" s="195" t="str" cm="1">
        <f t="array" aca="1" ref="B6" ca="1">IF(INDIRECT(F$9&amp;$E11)&lt;&gt;0,ABS(INDIRECT(F$9&amp;$E11))&amp;" kN "&amp;IF(INDIRECT(F$9&amp;$E11)&gt;0,_Arriba,_Abajo),"")</f>
        <v/>
      </c>
      <c r="D6" s="211" t="str">
        <f t="shared" ca="1" si="0"/>
        <v/>
      </c>
      <c r="P6" s="5" t="s">
        <v>22</v>
      </c>
      <c r="Q6" s="66" t="s">
        <v>127</v>
      </c>
      <c r="R6" s="86" t="s">
        <v>21</v>
      </c>
      <c r="S6" s="86" t="s">
        <v>56</v>
      </c>
      <c r="T6" s="86" t="s">
        <v>65</v>
      </c>
      <c r="U6" s="86" t="s">
        <v>68</v>
      </c>
      <c r="V6" s="86" t="s">
        <v>70</v>
      </c>
      <c r="W6" s="198" t="str">
        <f>Ap_1_h_Ale</f>
        <v>C</v>
      </c>
    </row>
    <row r="7" spans="1:26" x14ac:dyDescent="0.5">
      <c r="A7" s="194" t="str">
        <f ca="1">IF(B7="",""," Pv "&amp;E12&amp;" = ")</f>
        <v/>
      </c>
      <c r="B7" s="195" t="str" cm="1">
        <f t="array" aca="1" ref="B7" ca="1">IF(INDIRECT(F$9&amp;$E12)&lt;&gt;0,ABS(INDIRECT(F$9&amp;$E12))&amp;" kN "&amp;IF(INDIRECT(F$9&amp;$E12)&gt;0,_Arriba,_Abajo),"")</f>
        <v/>
      </c>
      <c r="D7" s="211" t="str">
        <f t="shared" ca="1" si="0"/>
        <v/>
      </c>
      <c r="L7" s="65"/>
      <c r="M7" s="65"/>
      <c r="O7" s="5">
        <v>1</v>
      </c>
      <c r="P7" s="199">
        <f>O7+1</f>
        <v>2</v>
      </c>
      <c r="Q7" s="199">
        <f t="shared" ref="Q7:W7" si="1">P7+1</f>
        <v>3</v>
      </c>
      <c r="R7" s="199">
        <f t="shared" si="1"/>
        <v>4</v>
      </c>
      <c r="S7" s="199">
        <f t="shared" si="1"/>
        <v>5</v>
      </c>
      <c r="T7" s="199">
        <f t="shared" si="1"/>
        <v>6</v>
      </c>
      <c r="U7" s="199">
        <f t="shared" si="1"/>
        <v>7</v>
      </c>
      <c r="V7" s="199">
        <f t="shared" si="1"/>
        <v>8</v>
      </c>
      <c r="W7" s="199">
        <f t="shared" si="1"/>
        <v>9</v>
      </c>
    </row>
    <row r="8" spans="1:26" x14ac:dyDescent="0.5">
      <c r="A8" s="194" t="str">
        <f ca="1">IF(B8="",""," Pv "&amp;E13&amp;" = ")</f>
        <v xml:space="preserve"> Pv D = </v>
      </c>
      <c r="B8" s="195" t="str" cm="1">
        <f t="array" aca="1" ref="B8" ca="1">IF(INDIRECT(F$9&amp;$E13)&lt;&gt;0,ABS(INDIRECT(F$9&amp;$E13))&amp;" kN "&amp;IF(INDIRECT(F$9&amp;$E13)&gt;0,_Arriba,_Abajo),"")</f>
        <v>100 kN ↑</v>
      </c>
      <c r="D8" s="211" t="str">
        <f t="shared" ca="1" si="0"/>
        <v>;</v>
      </c>
      <c r="F8" s="437" t="s">
        <v>122</v>
      </c>
      <c r="G8" s="439"/>
      <c r="H8" s="437" t="s">
        <v>72</v>
      </c>
      <c r="I8" s="438"/>
      <c r="J8" s="438"/>
      <c r="K8" s="438"/>
      <c r="L8" s="438"/>
      <c r="M8" s="438"/>
      <c r="N8" s="439"/>
      <c r="O8" s="62"/>
      <c r="Q8" s="66"/>
      <c r="R8" s="200">
        <f>P10</f>
        <v>0</v>
      </c>
      <c r="S8" s="200">
        <f>P11</f>
        <v>1</v>
      </c>
      <c r="T8" s="200">
        <f>P12</f>
        <v>1</v>
      </c>
      <c r="U8" s="200">
        <f>P13</f>
        <v>0</v>
      </c>
      <c r="V8" s="200">
        <f>P14</f>
        <v>0</v>
      </c>
      <c r="W8" s="96"/>
    </row>
    <row r="9" spans="1:26" x14ac:dyDescent="0.5">
      <c r="A9" s="196" t="str">
        <f ca="1">IF(B9="",""," Pv "&amp;E14&amp;" = ")</f>
        <v xml:space="preserve"> Pv E = </v>
      </c>
      <c r="B9" s="197" t="str" cm="1">
        <f t="array" aca="1" ref="B9" ca="1">IF(INDIRECT(F$9&amp;$E14)&lt;&gt;0,ABS(INDIRECT(F$9&amp;$E14))&amp;" kN "&amp;IF(INDIRECT(F$9&amp;$E14)&gt;0,_Arriba,_Abajo),"")</f>
        <v>150 kN ↓</v>
      </c>
      <c r="C9" s="74"/>
      <c r="D9" s="212" t="str">
        <f t="shared" ca="1" si="0"/>
        <v>;</v>
      </c>
      <c r="E9" s="7" t="str">
        <f ca="1">A10&amp;B10&amp;C10&amp;D10&amp; A11&amp;B11&amp;C11&amp;D11&amp; A12&amp;B12&amp;C12&amp;D12&amp; A13&amp;B13&amp;C13&amp;D13&amp; A14&amp;B14&amp;C14&amp;D14</f>
        <v xml:space="preserve"> Ph A = 50 kN ←; Ph D = 100 kN →; Ph E = 150 kN ←;</v>
      </c>
      <c r="F9" s="69" t="s">
        <v>90</v>
      </c>
      <c r="G9" s="69" t="s">
        <v>91</v>
      </c>
      <c r="H9" s="69" t="s">
        <v>87</v>
      </c>
      <c r="I9" s="69" t="s">
        <v>88</v>
      </c>
      <c r="J9" s="71" t="s">
        <v>123</v>
      </c>
      <c r="K9" s="71" t="s">
        <v>124</v>
      </c>
      <c r="L9" s="71" t="s">
        <v>89</v>
      </c>
      <c r="M9" s="69" t="s">
        <v>128</v>
      </c>
      <c r="N9" s="69" t="s">
        <v>129</v>
      </c>
      <c r="O9" s="62"/>
      <c r="R9" s="200">
        <f>X_A</f>
        <v>0</v>
      </c>
      <c r="S9" s="200">
        <f>X_B</f>
        <v>4</v>
      </c>
      <c r="T9" s="200">
        <f>X_C</f>
        <v>8</v>
      </c>
      <c r="U9" s="200">
        <f>X_D</f>
        <v>2</v>
      </c>
      <c r="V9" s="200">
        <f>X_E</f>
        <v>6</v>
      </c>
      <c r="W9" s="96"/>
      <c r="X9" s="7" t="s">
        <v>74</v>
      </c>
      <c r="Y9" s="158" t="str">
        <f ca="1">Y10&amp;Y11&amp;Y12&amp;Y13&amp;Y14</f>
        <v>Rv B = 260,57 kN ↓</v>
      </c>
      <c r="Z9" s="158" t="str">
        <f>Z10&amp;Z11&amp;Z12&amp;Z13&amp;Z14</f>
        <v>Rv B kN (↑) · 4m  − 100kN · 8m  − 100kN · 6m  + 150kN · 2m  + 50kN · 1,15m = 0</v>
      </c>
    </row>
    <row r="10" spans="1:26" ht="15" x14ac:dyDescent="0.5">
      <c r="A10" s="192" t="str">
        <f ca="1">IF(B10="",""," Ph "&amp;E10&amp;" = ")</f>
        <v xml:space="preserve"> Ph A = </v>
      </c>
      <c r="B10" s="193" t="str" cm="1">
        <f t="array" aca="1" ref="B10" ca="1">IF(INDIRECT(G$9&amp;$E10)&lt;&gt;0,ABS(INDIRECT(G$9&amp;$E10))&amp;" kN "&amp;IF(INDIRECT(G$9&amp;$E10)&gt;0,_Derecha,_Izquierda),"")</f>
        <v>50 kN ←</v>
      </c>
      <c r="C10" s="8"/>
      <c r="D10" s="156" t="str">
        <f t="shared" ca="1" si="0"/>
        <v>;</v>
      </c>
      <c r="E10" s="71" t="s">
        <v>21</v>
      </c>
      <c r="F10" s="201" t="str">
        <f ca="1">IF(Ver_Datos=_OK,B5,"")</f>
        <v>100 kN ↑</v>
      </c>
      <c r="G10" s="201" t="str">
        <f ca="1">IF(Ver_Datos=_OK,B10,"")</f>
        <v>50 kN ←</v>
      </c>
      <c r="H10" s="202" t="str">
        <f>IF(OR(Ap_1_v_Ale=E10,Ap_2_v_Ale=E10),E10,"")</f>
        <v/>
      </c>
      <c r="I10" s="202" t="str">
        <f>IF(Ap_1_h_Ale=E10,E10,"")</f>
        <v/>
      </c>
      <c r="J10" s="203" t="str" cm="1">
        <f t="array" aca="1" ref="J10" ca="1">IF(COUNTIF($H10:$I10,$E10)=2,IF(Ver_Resultados=_OK,"Rv "&amp;$E10&amp;" = "&amp;ROUND(ABS(INDIRECT($H$9&amp;E10)),2)&amp;" kN "&amp;IF(INDIRECT($H$9&amp;E10)&gt;=0,_Arriba,_Abajo)&amp;" 
Rh "&amp;$E10&amp;" = "&amp;ROUND(ABS(INDIRECT($I$9&amp;E10)),2)&amp;" kN "&amp;IF(INDIRECT($I$9&amp;E10)&gt;=0,_Derecha,_Izquierda),IF(I10="","","Rv "&amp;H10&amp;IF(I10="",""," "&amp;_Arriba&amp;"
 Rh "&amp;H10&amp;" "&amp;_Derecha))),"")</f>
        <v/>
      </c>
      <c r="K10" s="203" t="str" cm="1">
        <f t="array" aca="1" ref="K10" ca="1">IF(COUNTIF($H10:$I10,$E10)=1,IF(Ver_Resultados=_OK,"Rv "&amp;IF(H10="","",$E10&amp;" = "&amp;ROUND(ABS(INDIRECT($H$9&amp;H10)),2)&amp;" kN ")&amp;IF(INDIRECT($H$9&amp;E10)&gt;=0,_Arriba,_Abajo),IF(H10="",""," "&amp;"Rv "&amp;E10&amp;" "&amp;_Arriba)),"")</f>
        <v/>
      </c>
      <c r="L10" s="204" t="str">
        <f>IF(COUNTIF($H10:$I10,$E10)=0,$E10,"")</f>
        <v>A</v>
      </c>
      <c r="M10" s="205" t="str">
        <f>IF(COUNTIF($H10:$I10,$E10)&gt;0,$M$9,"")</f>
        <v/>
      </c>
      <c r="N10" s="202" t="str">
        <f>IF(COUNTIF($H10:$I10,$E10)=1,$N$9,"")</f>
        <v/>
      </c>
      <c r="O10" s="158" t="str">
        <f>"∑M "&amp;E10</f>
        <v>∑M A</v>
      </c>
      <c r="P10" s="199">
        <f>IFERROR(IF(VLOOKUP(E10,PROBLEMA!$H$12:$H$13,1,0)=E10,1,0),0)</f>
        <v>0</v>
      </c>
      <c r="Q10" s="199">
        <f>IF(E10=Ap_1_h_Ale,1,0)</f>
        <v>0</v>
      </c>
      <c r="R10" s="206">
        <f>ROUND(-(SUM(P_verticales)+SUM(S10:V10))*P10,2)</f>
        <v>0</v>
      </c>
      <c r="S10" s="207">
        <f>-(Pv_B*(X_B-X_A)+Pv_C*(X_C-X_A)+Pv_D*(X_D-X_A)+Pv_E*(X_E-X_A)-(Ph_D+Ph_E+Rh_D+Rh_E)*(Y_D-Y_A))/(S$9-$X10)*S$8*$P10</f>
        <v>0</v>
      </c>
      <c r="T10" s="207">
        <f>-(Pv_B*(X_B-X_A)+Pv_C*(X_C-X_A)+Pv_D*(X_D-X_A)+Pv_E*(X_E-X_A)-(Ph_D+Ph_E+Rh_D+Rh_E)*(Y_D-Y_A))/(T$9-$X10)*T$8*$P10</f>
        <v>0</v>
      </c>
      <c r="U10" s="207">
        <f>-(Pv_B*(X_B-X_A)+Pv_C*(X_C-X_A)+Pv_D*(X_D-X_A)+Pv_E*(X_E-X_A)-(Ph_D+Ph_E+Rh_D+Rh_E)*(Y_D-Y_A))/(U$9-$X10)*U$8*$P10</f>
        <v>0</v>
      </c>
      <c r="V10" s="207">
        <f>-(Pv_B*(X_B-X_A)+Pv_C*(X_C-X_A)+Pv_D*(X_D-X_A)+Pv_E*(X_E-X_A)-(Ph_D+Ph_E+Rh_D+Rh_E)*(Y_D-Y_A))/(V$9-$X10)*V$8*$P10</f>
        <v>0</v>
      </c>
      <c r="W10" s="208">
        <f>ROUND(-SUM(P_horizontales)*Q10,2)</f>
        <v>0</v>
      </c>
      <c r="X10" s="209">
        <f>X_A</f>
        <v>0</v>
      </c>
      <c r="Y10" s="158" t="str" cm="1">
        <f t="array" aca="1" ref="Y10" ca="1">IF(Ap_Fijo=E10,"Rv "&amp;Ap_Movil&amp;" = "&amp;ABS(INDIRECT("Rv_"&amp;Ap_Movil))&amp;" kN "&amp;IF(INDIRECT("Rv_"&amp;Ap_Movil)&lt;&gt;0,IF(INDIRECT("Rv_"&amp;Ap_Movil)&gt;0,_Arriba,IF(INDIRECT("Rv_"&amp;Ap_Movil)&lt;0,_Abajo,"")),IF(Salto="","",Tab)),"")</f>
        <v/>
      </c>
      <c r="Z10" s="210" t="str">
        <f>IF(Ap_Fijo=E10,"Rv "&amp;Ap_Movil&amp;" kN ("&amp;_Arriba&amp;") · "&amp;ABS(SUMPRODUCT($S$8:$V$8,$S$9:$V$9)-$X10)&amp; "m "&amp;
                            IF(Pv_B&lt;&gt;0,  IF(Pv_B&gt;0," + "," − ") &amp; ABS(Pv_B)&amp;"kN · "&amp;ABS(X_B-X_A)&amp;"m ","")&amp;
                            IF(Pv_C&lt;&gt;0,  IF(Pv_C&gt;0," + "," − ") &amp; ABS(Pv_C)&amp;"kN · "&amp;ABS(X_C-X_A)&amp;"m ","")&amp;
                            IF(Pv_D&lt;&gt;0,  IF(Pv_D&gt;0," + "," − ") &amp; ABS(Pv_D)&amp;"kN · "&amp;ABS(X_D-X_A)&amp;"m ","")&amp;
                            IF(Pv_E&lt;&gt;0,  IF(Pv_E&gt;0," + "," − ") &amp; ABS(Pv_E)&amp;"kN · "&amp;ABS(X_E-X_A)&amp;"m ","")&amp;
IF(Ph_D+Ph_E+Rh_D+Rh_E&lt;&gt;0,  IF(Ph_D+Ph_E+Rh_D+Rh_E&lt;0, " + "," − ")&amp;ABS(Ph_D+Ph_E+Rh_D+Rh_E)&amp;"kN · "&amp;ROUND(h_,2)&amp;"m ","")&amp;"= 0","")</f>
        <v/>
      </c>
    </row>
    <row r="11" spans="1:26" ht="15" x14ac:dyDescent="0.5">
      <c r="A11" s="194" t="str">
        <f ca="1">IF(B11="",""," Ph "&amp;E11&amp;" = ")</f>
        <v/>
      </c>
      <c r="B11" s="195" t="str" cm="1">
        <f t="array" aca="1" ref="B11" ca="1">IF(INDIRECT(G$9&amp;$E11)&lt;&gt;0,ABS(INDIRECT(G$9&amp;$E11))&amp;" kN "&amp;IF(INDIRECT(G$9&amp;$E11)&gt;0,_Derecha,_Izquierda),"")</f>
        <v/>
      </c>
      <c r="D11" s="211" t="str">
        <f t="shared" ca="1" si="0"/>
        <v/>
      </c>
      <c r="E11" s="71" t="s">
        <v>56</v>
      </c>
      <c r="F11" s="201" t="str">
        <f ca="1">IF(Ver_Datos=_OK,B6,"")</f>
        <v/>
      </c>
      <c r="G11" s="201" t="str">
        <f ca="1">IF(Ver_Datos=_OK,IF(B11&lt;&gt;"",RIGHT(B11,1)&amp;" "&amp;LEFT(B11,LEN(B11)-2),""),"")</f>
        <v/>
      </c>
      <c r="H11" s="202" t="str">
        <f>IF(OR(Ap_1_v_Ale=E11,Ap_2_v_Ale=E11),E11,"")</f>
        <v>B</v>
      </c>
      <c r="I11" s="202" t="str">
        <f>IF(Ap_1_h_Ale=E11,E11,"")</f>
        <v/>
      </c>
      <c r="J11" s="203" t="str" cm="1">
        <f t="array" aca="1" ref="J11" ca="1">IF(COUNTIF($H11:$I11,$E11)=2,IF(Ver_Resultados=_OK,"Rv "&amp;$E11&amp;" = "&amp;ROUND(ABS(INDIRECT($H$9&amp;E11)),2)&amp;" kN "&amp;IF(INDIRECT($H$9&amp;E11)&gt;=0,_Arriba,_Abajo)&amp;" 
Rh "&amp;$E11&amp;" = "&amp;ROUND(ABS(INDIRECT($I$9&amp;E11)),2)&amp;" kN "&amp;IF(INDIRECT($I$9&amp;E11)&gt;=0,_Derecha,_Izquierda),IF(I11="","","Rv "&amp;H11&amp;IF(I11="",""," "&amp;_Arriba&amp;"
 Rh "&amp;H11&amp;" "&amp;_Derecha))),"")</f>
        <v/>
      </c>
      <c r="K11" s="203" t="str" cm="1">
        <f t="array" aca="1" ref="K11" ca="1">IF(COUNTIF($H11:$I11,$E11)=1,IF(Ver_Resultados=_OK,"Rv "&amp;IF(H11="","",$E11&amp;" = "&amp;ROUND(ABS(INDIRECT($H$9&amp;H11)),2)&amp;" kN ")&amp;IF(INDIRECT($H$9&amp;E11)&gt;=0,_Arriba,_Abajo),IF(H11="",""," "&amp;"Rv "&amp;E11&amp;" "&amp;_Arriba)),"")</f>
        <v>Rv B = 260,57 kN ↓</v>
      </c>
      <c r="L11" s="204" t="str">
        <f>IF(COUNTIF($H11:$I11,$E11)=0,$E11,"")</f>
        <v/>
      </c>
      <c r="M11" s="205" t="str">
        <f>IF(COUNTIF($H11:$I11,$E11)&gt;0,$M$9,"")</f>
        <v>▲</v>
      </c>
      <c r="N11" s="202" t="str">
        <f>IF(COUNTIF($H11:$I11,$E11)=1,$N$9,"")</f>
        <v>●●</v>
      </c>
      <c r="O11" s="158" t="str">
        <f>"∑M "&amp;E11</f>
        <v>∑M B</v>
      </c>
      <c r="P11" s="199">
        <f>IFERROR(IF(VLOOKUP(E11,PROBLEMA!$H$12:$H$13,1,0)=E11,1,0),0)</f>
        <v>1</v>
      </c>
      <c r="Q11" s="199">
        <f>IF(E11=Ap_1_h_Ale,1,0)</f>
        <v>0</v>
      </c>
      <c r="R11" s="207">
        <f>(Pv_A*(X_A-X_B)+Pv_C*(X_C-X_B)+Pv_D*(X_D-X_B)+Pv_E*(X_E-X_B)-(Ph_D+Ph_E+Rh_D+Rh_E)*(Y_D-Y_A))/($X11-R$9)*R$8*$P11</f>
        <v>0</v>
      </c>
      <c r="S11" s="206">
        <f>ROUND(-(SUM(P_verticales)+SUM(R11,T11:V11))*P11,2)</f>
        <v>-260.57</v>
      </c>
      <c r="T11" s="207">
        <f>(Pv_A*(X_A-X_B)+Pv_C*(X_C-X_B)+Pv_D*(X_D-X_B)+Pv_E*(X_E-X_B)-(Ph_D+Ph_E+Rh_D+Rh_E)*(Y_D-Y_A))/($X11-T$9)*T$8*$P11</f>
        <v>210.56624327025935</v>
      </c>
      <c r="U11" s="207">
        <f>(Pv_A*(X_A-X_B)+Pv_C*(X_C-X_B)+Pv_D*(X_D-X_B)+Pv_E*(X_E-X_B)-(Ph_D+Ph_E+Rh_D+Rh_E)*(Y_D-Y_A))/($X11-U$9)*U$8*$P11</f>
        <v>0</v>
      </c>
      <c r="V11" s="207">
        <f>(Pv_A*(X_A-X_B)+Pv_C*(X_C-X_B)+Pv_D*(X_D-X_B)+Pv_E*(X_E-X_B)-(Ph_D+Ph_E+Rh_D+Rh_E)*(Y_D-Y_A))/($X11-V$9)*V$8*$P11</f>
        <v>0</v>
      </c>
      <c r="W11" s="208">
        <f>ROUND(-SUM(P_horizontales)*Q11,2)</f>
        <v>0</v>
      </c>
      <c r="X11" s="202">
        <f>X_B</f>
        <v>4</v>
      </c>
      <c r="Y11" s="158" t="str" cm="1">
        <f t="array" aca="1" ref="Y11" ca="1">IF(Ap_Fijo=E11,"Rv "&amp;Ap_Movil&amp;" = "&amp;ABS(INDIRECT("Rv_"&amp;Ap_Movil))&amp;" kN "&amp;IF(INDIRECT("Rv_"&amp;Ap_Movil)&lt;&gt;0,IF(INDIRECT("Rv_"&amp;Ap_Movil)&gt;0,_Arriba,IF(INDIRECT("Rv_"&amp;Ap_Movil)&lt;0,_Abajo,"")),IF(Salto="","",Tab)),"")</f>
        <v/>
      </c>
      <c r="Z11" s="210" t="str">
        <f>IF(Ap_Fijo=E11,"Rv "&amp;Ap_Movil&amp;" kN ("&amp;_Arriba&amp;") · "&amp;ABS(SUMPRODUCT($T$8:$V$8,$T$9:$V$9)+$R$8*$R$9-$X11)&amp; "m "&amp;
                            IF(Pv_A&lt;&gt;0,  IF(Pv_A&lt;0," + "," − ") &amp; ABS(Pv_A)&amp;"kN · "&amp;ABS(X_A-X_B)&amp;"m ","")&amp;
                            IF(Pv_C&lt;&gt;0,  IF(Pv_C&gt;0," + "," − ") &amp; ABS(Pv_C)&amp;"kN · "&amp;ABS(X_C-X_B)&amp;"m ","")&amp;
                            IF(Pv_D&lt;&gt;0,  IF(Pv_D&lt;0," + "," − ") &amp; ABS(Pv_D)&amp;"kN · "&amp;ABS(X_D-X_B)&amp;"m ","")&amp;
                            IF(Pv_E&lt;&gt;0,  IF(Pv_E&gt;0," + "," − ") &amp; ABS(Pv_E)&amp;"kN · "&amp;ABS(X_E-X_B)&amp;"m ","")&amp;
IF(Ph_D+Ph_E+Rh_D+Rh_E&lt;&gt;0,  IF(Ph_D+Ph_E+Rh_D+Rh_E&lt;0, " + "," − ")&amp;ABS(Ph_D+Ph_E+Rh_D+Rh_E)&amp;"kN · "&amp;ROUND(h_,2)&amp;"m ","")&amp;"= 0","")</f>
        <v/>
      </c>
    </row>
    <row r="12" spans="1:26" ht="15" x14ac:dyDescent="0.5">
      <c r="A12" s="194" t="str">
        <f ca="1">IF(B12="",""," Ph "&amp;E12&amp;" = ")</f>
        <v/>
      </c>
      <c r="B12" s="195" t="str" cm="1">
        <f t="array" aca="1" ref="B12" ca="1">IF(INDIRECT(G$9&amp;$E12)&lt;&gt;0,ABS(INDIRECT(G$9&amp;$E12))&amp;" kN "&amp;IF(INDIRECT(G$9&amp;$E12)&gt;0,_Derecha,_Izquierda),"")</f>
        <v/>
      </c>
      <c r="D12" s="211" t="str">
        <f t="shared" ca="1" si="0"/>
        <v/>
      </c>
      <c r="E12" s="71" t="s">
        <v>65</v>
      </c>
      <c r="F12" s="201" t="str">
        <f ca="1">IF(Ver_Datos=_OK,B7,"")</f>
        <v/>
      </c>
      <c r="G12" s="201" t="str">
        <f ca="1">IF(Ver_Datos=_OK,IF(B12&lt;&gt;"",RIGHT(B12,1)&amp;" "&amp;LEFT(B12,LEN(B12)-2),""),"")</f>
        <v/>
      </c>
      <c r="H12" s="202" t="str">
        <f>IF(OR(Ap_1_v_Ale=E12,Ap_2_v_Ale=E12),E12,"")</f>
        <v>C</v>
      </c>
      <c r="I12" s="202" t="str">
        <f>IF(Ap_1_h_Ale=E12,E12,"")</f>
        <v>C</v>
      </c>
      <c r="J12" s="203" t="str" cm="1">
        <f t="array" aca="1" ref="J12" ca="1">IF(COUNTIF($H12:$I12,$E12)=2,IF(Ver_Resultados=_OK,"Rv "&amp;$E12&amp;" = "&amp;ROUND(ABS(INDIRECT($H$9&amp;E12)),2)&amp;" kN "&amp;IF(INDIRECT($H$9&amp;E12)&gt;=0,_Arriba,_Abajo)&amp;" 
Rh "&amp;$E12&amp;" = "&amp;ROUND(ABS(INDIRECT($I$9&amp;E12)),2)&amp;" kN "&amp;IF(INDIRECT($I$9&amp;E12)&gt;=0,_Derecha,_Izquierda),IF(I12="","","Rv "&amp;H12&amp;IF(I12="",""," "&amp;_Arriba&amp;"
 Rh "&amp;H12&amp;" "&amp;_Derecha))),"")</f>
        <v>Rv C = 210,57 kN ↑ 
Rh C = 100 kN →</v>
      </c>
      <c r="K12" s="203" t="str" cm="1">
        <f t="array" aca="1" ref="K12" ca="1">IF(COUNTIF($H12:$I12,$E12)=1,IF(Ver_Resultados=_OK,"Rv "&amp;IF(H12="","",$E12&amp;" = "&amp;ROUND(ABS(INDIRECT($H$9&amp;H12)),2)&amp;" kN ")&amp;IF(INDIRECT($H$9&amp;E12)&gt;=0,_Arriba,_Abajo),IF(H12="",""," "&amp;"Rv "&amp;E12&amp;" "&amp;_Arriba)),"")</f>
        <v/>
      </c>
      <c r="L12" s="204" t="str">
        <f>IF(COUNTIF($H12:$I12,$E12)=0,$E12,"")</f>
        <v/>
      </c>
      <c r="M12" s="205" t="str">
        <f>IF(COUNTIF($H12:$I12,$E12)&gt;0,$M$9,"")</f>
        <v>▲</v>
      </c>
      <c r="N12" s="202" t="str">
        <f>IF(COUNTIF($H12:$I12,$E12)=1,$N$9,"")</f>
        <v/>
      </c>
      <c r="O12" s="158" t="str">
        <f>"∑M "&amp;E12</f>
        <v>∑M C</v>
      </c>
      <c r="P12" s="199">
        <f>IFERROR(IF(VLOOKUP(E12,PROBLEMA!$H$12:$H$13,1,0)=E12,1,0),0)</f>
        <v>1</v>
      </c>
      <c r="Q12" s="199">
        <f>IF(E12=Ap_1_h_Ale,1,0)</f>
        <v>1</v>
      </c>
      <c r="R12" s="207">
        <f>(Pv_A*(X_A-X_C)+Pv_B*(X_B-X_C)+Pv_D*(X_D-X_C)+Pv_E*(X_E-X_C)-(Ph_D+Ph_E+Rh_D+Rh_E)*(Y_D-Y_A))/($X12-R$9)*R$8*$P12</f>
        <v>0</v>
      </c>
      <c r="S12" s="207">
        <f>(Pv_A*(X_A-X_C)+Pv_B*(X_B-X_C)+Pv_D*(X_D-X_C)+Pv_E*(X_E-X_C)-(Ph_D+Ph_E+Rh_D+Rh_E)*(Y_D-Y_A))/($X12-S$9)*S$8*$P12</f>
        <v>-260.56624327025935</v>
      </c>
      <c r="T12" s="206">
        <f>ROUND(-(SUM(P_verticales)+SUM(R12,S12,U12:V12))*P12,2)</f>
        <v>210.57</v>
      </c>
      <c r="U12" s="207">
        <f>(Pv_A*(X_A-X_C)+Pv_B*(X_B-X_C)+Pv_C*(X_D-X_C)+Pv_E*(X_E-X_C)-(Ph_D+Ph_E+Rh_D+Rh_E)*(Y_D-Y_A))/($X12-U$9)*U$8*$P12</f>
        <v>0</v>
      </c>
      <c r="V12" s="207">
        <f>(Pv_A*(X_A-X_C)+Pv_B*(X_B-X_C)+Pv_D*(X_D-X_C)+Pv_E*(X_E-X_C)-(Ph_D+Ph_E+Rh_D+Rh_E)*(Y_D-Y_A))/($X12-V$9)*V$8*$P12</f>
        <v>0</v>
      </c>
      <c r="W12" s="208">
        <f>ROUND(-SUM(P_horizontales)*Q12,2)</f>
        <v>100</v>
      </c>
      <c r="X12" s="202">
        <f>X_C</f>
        <v>8</v>
      </c>
      <c r="Y12" s="158" t="str" cm="1">
        <f t="array" aca="1" ref="Y12" ca="1">IF(Ap_Fijo=E12,"Rv "&amp;Ap_Movil&amp;" = "&amp;ABS(INDIRECT("Rv_"&amp;Ap_Movil))&amp;" kN "&amp;IF(INDIRECT("Rv_"&amp;Ap_Movil)&lt;&gt;0,IF(INDIRECT("Rv_"&amp;Ap_Movil)&gt;0,_Arriba,IF(INDIRECT("Rv_"&amp;Ap_Movil)&lt;0,_Abajo,"")),IF(Salto="","",Tab)),"")</f>
        <v>Rv B = 260,57 kN ↓</v>
      </c>
      <c r="Z12" s="210" t="str">
        <f>IF(Ap_Fijo=E12,"Rv "&amp;Ap_Movil&amp;" kN ("&amp;_Arriba&amp;") · "&amp;ABS(SUMPRODUCT($U$8:$V$8,$U$9:$V$9)+SUMPRODUCT($R$8:$S$8,$R$9:$S$9)-$X12)&amp; "m "&amp;                IF(Pv_A&lt;&gt;0,  IF(Pv_A&lt;0," + "," − ") &amp; ABS(Pv_A)&amp;"kN · "&amp;ABS(X_A-X_C)&amp;"m ","")&amp;
                            IF(Pv_B&lt;&gt;0,  IF(Pv_B&lt;0," + "," − ") &amp; ABS(Pv_B)&amp;"kN · "&amp;ABS(X_B-X_C)&amp;"m ","")&amp;
                            IF(Pv_D&lt;&gt;0,  IF(Pv_D&lt;0," + "," − ") &amp; ABS(Pv_D)&amp;"kN · "&amp;ABS(X_D-X_C)&amp;"m ","")&amp;
                            IF(Pv_E&lt;&gt;0,  IF(Pv_E&lt;0," + "," − ") &amp; ABS(Pv_E)&amp;"kN · "&amp;ABS(X_E-X_C)&amp;"m ","")&amp;
IF(Ph_D+Ph_E+Rh_D+Rh_E&lt;&gt;0,  IF(Ph_D+Ph_E+Rh_D+Rh_E&lt;0, " + "," − ")&amp;ABS(Ph_D+Ph_E+Rh_D+Rh_E)&amp;"kN · "&amp;ROUND(h_,2)&amp;"m ","")&amp;"= 0","")</f>
        <v>Rv B kN (↑) · 4m  − 100kN · 8m  − 100kN · 6m  + 150kN · 2m  + 50kN · 1,15m = 0</v>
      </c>
    </row>
    <row r="13" spans="1:26" ht="15" x14ac:dyDescent="0.5">
      <c r="A13" s="194" t="str">
        <f ca="1">IF(B13="",""," Ph "&amp;E13&amp;" = ")</f>
        <v xml:space="preserve"> Ph D = </v>
      </c>
      <c r="B13" s="195" t="str" cm="1">
        <f t="array" aca="1" ref="B13" ca="1">IF(INDIRECT(G$9&amp;$E13)&lt;&gt;0,ABS(INDIRECT(G$9&amp;$E13))&amp;" kN "&amp;IF(INDIRECT(G$9&amp;$E13)&gt;0,_Derecha,_Izquierda),"")</f>
        <v>100 kN →</v>
      </c>
      <c r="D13" s="211" t="str">
        <f t="shared" ca="1" si="0"/>
        <v>;</v>
      </c>
      <c r="E13" s="71" t="s">
        <v>68</v>
      </c>
      <c r="F13" s="201" t="str">
        <f ca="1">IF(Ver_Datos=_OK,B8,"")</f>
        <v>100 kN ↑</v>
      </c>
      <c r="G13" s="201" t="str">
        <f ca="1">IF(Ver_Datos=_OK,B13,"")</f>
        <v>100 kN →</v>
      </c>
      <c r="H13" s="202" t="str">
        <f>IF(OR(Ap_1_v_Ale=E13,Ap_2_v_Ale=E13),E13,"")</f>
        <v/>
      </c>
      <c r="I13" s="202" t="str">
        <f>IF(Ap_1_h_Ale=E13,E13,"")</f>
        <v/>
      </c>
      <c r="J13" s="203" t="str" cm="1">
        <f t="array" aca="1" ref="J13" ca="1">IF(COUNTIF($H13:$I13,$E13)=2,IF(Ver_Resultados=_OK,"Rv "&amp;$E13&amp;" = "&amp;ROUND(ABS(INDIRECT($H$9&amp;E13)),2)&amp;" kN "&amp;IF(INDIRECT($H$9&amp;E13)&gt;=0,_Arriba,_Abajo)&amp;" 
Rh "&amp;$E13&amp;" = "&amp;ROUND(ABS(INDIRECT($I$9&amp;E13)),2)&amp;" kN "&amp;IF(INDIRECT($I$9&amp;E13)&gt;=0,_Derecha,_Izquierda),IF(I13="","","Rv "&amp;H13&amp;IF(I13="",""," "&amp;_Arriba&amp;"
 Rh "&amp;H13&amp;" "&amp;_Derecha))),"")</f>
        <v/>
      </c>
      <c r="K13" s="203" t="str" cm="1">
        <f t="array" aca="1" ref="K13" ca="1">IF(COUNTIF($H13:$I13,$E13)=1,IF(Ver_Resultados=_OK,"Rv "&amp;IF(H13="","",$E13&amp;" = "&amp;ROUND(ABS(INDIRECT($H$9&amp;H13)),2)&amp;" kN ")&amp;IF(INDIRECT($H$9&amp;E13)&gt;=0,_Arriba,_Abajo),IF(H13="",""," "&amp;"Rv "&amp;E13&amp;" "&amp;_Arriba)),"")</f>
        <v/>
      </c>
      <c r="L13" s="204" t="str">
        <f>IF(COUNTIF($H13:$I13,$E13)=0,$E13,"")</f>
        <v>D</v>
      </c>
      <c r="M13" s="205" t="str">
        <f>IF(COUNTIF($H13:$I13,$E13)&gt;0,$M$9,"")</f>
        <v/>
      </c>
      <c r="N13" s="202" t="str">
        <f>IF(COUNTIF($H13:$I13,$E13)=1,$N$9,"")</f>
        <v/>
      </c>
      <c r="O13" s="158" t="str">
        <f>"∑M "&amp;E13</f>
        <v>∑M D</v>
      </c>
      <c r="P13" s="199">
        <f>IFERROR(IF(VLOOKUP(E13,PROBLEMA!$H$12:$H$13,1,0)=E13,1,0),0)</f>
        <v>0</v>
      </c>
      <c r="Q13" s="199">
        <f>IF(E13=Ap_1_h_Ale,1,0)</f>
        <v>0</v>
      </c>
      <c r="R13" s="207">
        <f>(Pv_A*(X_A-X_D)+Pv_B*(X_B-X_D)+Pv_C*(X_C-X_D)+Pv_E*(X_E-X_D)-(Ph_A+Ph_B+Ph_C+Rh_A+Rh_B+Rh_C)*(Y_A-Y_D))/($X13-R$9)*R$8*$P13</f>
        <v>0</v>
      </c>
      <c r="S13" s="207">
        <f>(Pv_A*(X_A-X_D)+Pv_B*(X_B-X_D)+Pv_C*(X_C-X_D)+Pv_E*(X_E-X_D)-(Ph_A+Ph_B+Ph_C+Rh_A+Rh_B+Rh_C)*(Y_A-Y_D))/($X13-S$9)*S$8*$P13</f>
        <v>0</v>
      </c>
      <c r="T13" s="207">
        <f>(Pv_A*(X_A-X_D)+Pv_B*(X_B-X_D)+Pv_C*(X_C-X_D)+Pv_E*(X_E-X_D)-(Ph_A+Ph_B+Ph_C+Rh_A+Rh_B+Rh_C)*(Y_A-Y_D))/($X13-T$9)*T$8*$P13</f>
        <v>0</v>
      </c>
      <c r="U13" s="206">
        <f>ROUND(-(SUM(P_verticales)+SUM(R13,S13,T13,V13))*P13,2)</f>
        <v>0</v>
      </c>
      <c r="V13" s="207">
        <f>(Pv_A*(X_A-X_D)+Pv_B*(X_B-X_D)+Pv_C*(X_C-X_D)+Pv_E*(X_E-X_D)-(Ph_A+Ph_B+Ph_C+Rh_A+Rh_B+Rh_C)*(Y_A-Y_D))/($X13-V$9)*V$8*$P13</f>
        <v>0</v>
      </c>
      <c r="W13" s="208">
        <f>ROUND(-SUM(P_horizontales)*Q13,2)</f>
        <v>0</v>
      </c>
      <c r="X13" s="202">
        <f>X_D</f>
        <v>2</v>
      </c>
      <c r="Y13" s="158" t="str" cm="1">
        <f t="array" aca="1" ref="Y13" ca="1">IF(Ap_Fijo=E13,"Rv "&amp;Ap_Movil&amp;" = "&amp;ABS(INDIRECT("Rv_"&amp;Ap_Movil))&amp;" kN "&amp;IF(INDIRECT("Rv_"&amp;Ap_Movil)&lt;&gt;0,IF(INDIRECT("Rv_"&amp;Ap_Movil)&gt;0,_Arriba,IF(INDIRECT("Rv_"&amp;Ap_Movil)&lt;0,_Abajo,"")),IF(Salto="","",Tab)),"")</f>
        <v/>
      </c>
      <c r="Z13" s="210" t="str">
        <f>IF(Ap_Fijo=E13,"Rv "&amp;Ap_Movil&amp;" kN ("&amp;_Arriba&amp;") · "&amp;ABS(SUMPRODUCT($V$8,$V$9)+SUMPRODUCT($R$8:$T$8,$R$9:$T$9)-$X13)&amp; "m "&amp;                          IF(Pv_A&lt;&gt;0,  IF(Pv_A&lt;0," + "," − ") &amp; ABS(Pv_A)&amp;"kN · "&amp;ABS(X_A-X_D)&amp;"m ","")&amp;
                            IF(Pv_B&lt;&gt;0,  IF(Pv_B&gt;0," + "," − ") &amp; ABS(Pv_B)&amp;"kN · "&amp;ABS(X_B-X_D)&amp;"m ","")&amp;
                            IF(Pv_C&lt;&gt;0,  IF(Pv_C&gt;0," + "," − ") &amp; ABS(Pv_C)&amp;"kN · "&amp;ABS(X_C-X_D)&amp;"m ","")&amp;
                            IF(Pv_E&lt;&gt;0,  IF(Pv_E&gt;0," + "," − ") &amp; ABS(Pv_E)&amp;"kN · "&amp;ABS(X_E-X_D)&amp;"m ","")&amp;
IF(Ph_D+Ph_E+Rh_D+Rh_E&lt;&gt;0,  IF(Ph_D+Ph_E+Rh_D+Rh_E&lt;0, " + "," − ")&amp;ABS(Ph_D+Ph_E+Rh_D+Rh_E)&amp;"kN · "&amp;ROUND(h_,2)&amp;"m ","")&amp;"= 0","")</f>
        <v/>
      </c>
    </row>
    <row r="14" spans="1:26" ht="15" x14ac:dyDescent="0.5">
      <c r="A14" s="196" t="str">
        <f ca="1">IF(B14="",""," Ph "&amp;E14&amp;" = ")</f>
        <v xml:space="preserve"> Ph E = </v>
      </c>
      <c r="B14" s="195" t="str" cm="1">
        <f t="array" aca="1" ref="B14" ca="1">IF(INDIRECT(G$9&amp;$E14)&lt;&gt;0,ABS(INDIRECT(G$9&amp;$E14))&amp;" kN "&amp;IF(INDIRECT(G$9&amp;$E14)&gt;0,_Derecha,_Izquierda),"")</f>
        <v>150 kN ←</v>
      </c>
      <c r="C14" s="74"/>
      <c r="D14" s="212" t="str">
        <f t="shared" ca="1" si="0"/>
        <v>;</v>
      </c>
      <c r="E14" s="71" t="s">
        <v>70</v>
      </c>
      <c r="F14" s="201" t="str">
        <f ca="1">IF(Ver_Datos=_OK,B9,"")</f>
        <v>150 kN ↓</v>
      </c>
      <c r="G14" s="201" t="str">
        <f ca="1">IF(Ver_Datos=_OK,IF(B14&lt;&gt;"",RIGHT(B14,1)&amp;" "&amp;LEFT(B14,LEN(B14)-2),""),"")</f>
        <v>← 150 kN</v>
      </c>
      <c r="H14" s="202" t="str">
        <f>IF(OR(Ap_1_v_Ale=E14,Ap_2_v_Ale=E14),E14,"")</f>
        <v/>
      </c>
      <c r="I14" s="202" t="str">
        <f>IF(Ap_1_h_Ale=E14,E14,"")</f>
        <v/>
      </c>
      <c r="J14" s="203" t="str" cm="1">
        <f t="array" aca="1" ref="J14" ca="1">IF(COUNTIF($H14:$I14,$E14)=2,IF(Ver_Resultados=_OK,"Rv "&amp;$E14&amp;" = "&amp;ROUND(ABS(INDIRECT($H$9&amp;E14)),2)&amp;" kN "&amp;IF(INDIRECT($H$9&amp;E14)&gt;=0,_Arriba,_Abajo)&amp;" 
Rh "&amp;$E14&amp;" = "&amp;ROUND(ABS(INDIRECT($I$9&amp;E14)),2)&amp;" kN "&amp;IF(INDIRECT($I$9&amp;E14)&gt;=0,_Derecha,_Izquierda),IF(I14="","","Rv "&amp;H14&amp;IF(I14="",""," "&amp;_Arriba&amp;"
 Rh "&amp;H14&amp;" "&amp;_Derecha))),"")</f>
        <v/>
      </c>
      <c r="K14" s="203" t="str" cm="1">
        <f t="array" aca="1" ref="K14" ca="1">IF(COUNTIF($H14:$I14,$E14)=1,IF(Ver_Resultados=_OK,"Rv "&amp;IF(H14="","",$E14&amp;" = "&amp;ROUND(ABS(INDIRECT($H$9&amp;H14)),2)&amp;" kN ")&amp;IF(INDIRECT($H$9&amp;E14)&gt;=0,_Arriba,_Abajo),IF(H14="",""," "&amp;"Rv "&amp;E14&amp;" "&amp;_Arriba)),"")</f>
        <v/>
      </c>
      <c r="L14" s="204" t="str">
        <f>IF(COUNTIF($H14:$I14,$E14)=0,$E14,"")</f>
        <v>E</v>
      </c>
      <c r="M14" s="205" t="str">
        <f>IF(COUNTIF($H14:$I14,$E14)&gt;0,$M$9,"")</f>
        <v/>
      </c>
      <c r="N14" s="202" t="str">
        <f>IF(COUNTIF($H14:$I14,$E14)=1,$N$9,"")</f>
        <v/>
      </c>
      <c r="O14" s="158" t="str">
        <f>"∑M "&amp;E14</f>
        <v>∑M E</v>
      </c>
      <c r="P14" s="199">
        <f>IFERROR(IF(VLOOKUP(E14,PROBLEMA!$H$12:$H$13,1,0)=E14,1,0),0)</f>
        <v>0</v>
      </c>
      <c r="Q14" s="199">
        <f>IF(E14=Ap_1_h_Ale,1,0)</f>
        <v>0</v>
      </c>
      <c r="R14" s="207">
        <f>(Pv_A*(X_A-X_E)+Pv_B*(X_B-X_E)+Pv_C*(X_C-X_E)+Pv_D*(X_D-X_E)-(Ph_A+Ph_B+Ph_C+Rh_A+Rh_B+Rh_C)*(Y_A-Y_D))/($X14-R$9)*R$8*$P14</f>
        <v>0</v>
      </c>
      <c r="S14" s="207">
        <f>(Pv_A*(X_A-X_E)+Pv_B*(X_B-X_E)+Pv_C*(X_C-X_E)+Pv_D*(X_D-X_E)-(Ph_A+Ph_B+Ph_C+Rh_A+Rh_B+Rh_C)*(Y_A-Y_D))/($X14-S$9)*S$8*$P14</f>
        <v>0</v>
      </c>
      <c r="T14" s="207">
        <f>(Pv_A*(X_A-X_E)+Pv_B*(X_B-X_E)+Pv_C*(X_C-X_E)+Pv_D*(X_D-X_E)-(Ph_A+Ph_B+Ph_C+Rh_A+Rh_B+Rh_C)*(Y_A-Y_D))/($X14-T$9)*T$8*$P14</f>
        <v>0</v>
      </c>
      <c r="U14" s="207">
        <f>(Pv_A*(X_A-X_E)+Pv_B*(X_B-X_E)+Pv_C*(X_C-X_E)+Pv_D*(X_D-X_E)-(Ph_A+Ph_B+Ph_C+Rh_A+Rh_B+Rh_C)*(Y_A-Y_D))/($X14-U$9)*U$8*$P14</f>
        <v>0</v>
      </c>
      <c r="V14" s="206">
        <f>ROUND(-(SUM(P_verticales)+SUM(R14:U14))*P14,2)</f>
        <v>0</v>
      </c>
      <c r="W14" s="208">
        <f>ROUND(-SUM(P_horizontales)*Q14,2)</f>
        <v>0</v>
      </c>
      <c r="X14" s="202">
        <f>X_E</f>
        <v>6</v>
      </c>
      <c r="Y14" s="158" t="str" cm="1">
        <f t="array" aca="1" ref="Y14" ca="1">IF(Ap_Fijo=E14,"Rv "&amp;Ap_Movil&amp;" = "&amp;ABS(INDIRECT("Rv_"&amp;Ap_Movil))&amp;" kN "&amp;IF(INDIRECT("Rv_"&amp;Ap_Movil)&lt;&gt;0,IF(INDIRECT("Rv_"&amp;Ap_Movil)&gt;0,_Arriba,IF(INDIRECT("Rv_"&amp;Ap_Movil)&lt;0,_Abajo,"")),IF(Salto="","",Tab)),"")</f>
        <v/>
      </c>
      <c r="Z14" s="210" t="str">
        <f>IF(Ap_Fijo=E14,"Rv "&amp;Ap_Movil&amp;" kN ("&amp;_Arriba&amp;") · "&amp;ABS(SUMPRODUCT($U$8,$U$9)+SUMPRODUCT($R$8:$T$8,$R$9:$T$9)-$X14)&amp; "m "&amp;                          IF(Pv_A&lt;&gt;0,  IF(Pv_A&lt;0," + "," − ") &amp; ABS(Pv_A)&amp;"kN · "&amp;ABS(X_A-X_E)&amp;"m ","")&amp;
                            IF(Pv_B&lt;&gt;0,  IF(Pv_B&lt;0," + "," − ") &amp; ABS(Pv_B)&amp;"kN · "&amp;ABS(X_B-X_E)&amp;"m ","")&amp;
                            IF(Pv_C&lt;&gt;0,  IF(Pv_C&gt;0," + "," − ") &amp; ABS(Pv_C)&amp;"kN · "&amp;ABS(X_C-X_E)&amp;"m ","")&amp;
                            IF(Pv_D&lt;&gt;0,  IF(Pv_D&lt;0," + "," − ") &amp; ABS(Pv_D)&amp;"kN · "&amp;ABS(X_D-X_E)&amp;"m ","")&amp;
IF(Ph_D+Ph_E+Rh_D+Rh_E&lt;&gt;0,  IF(Ph_D+Ph_E+Rh_D+Rh_E&lt;0, " + "," − ")&amp;ABS(Ph_D+Ph_E+Rh_D+Rh_E)&amp;"kN · "&amp;ROUND(h_,2)&amp;"m ","")&amp;"= 0","")</f>
        <v/>
      </c>
    </row>
    <row r="15" spans="1:26" x14ac:dyDescent="0.5">
      <c r="A15" s="71" t="s">
        <v>75</v>
      </c>
      <c r="B15" s="71" t="s">
        <v>76</v>
      </c>
      <c r="E15" s="71" t="s">
        <v>77</v>
      </c>
      <c r="J15" s="213" t="str">
        <f ca="1">A_Fijo&amp;Apoyo_B_Fijo&amp;Apoyo_C_Fijo&amp;Apoyo_D_Fijo&amp;Apoyo_E_Fijo</f>
        <v>Rv C = 210,57 kN ↑ 
Rh C = 100 kN →</v>
      </c>
      <c r="O15" s="214">
        <f>P15+Q15</f>
        <v>3</v>
      </c>
      <c r="P15" s="214">
        <f>SUM(P10:P14)</f>
        <v>2</v>
      </c>
      <c r="Q15" s="214">
        <f>SUM(Q10:Q14)</f>
        <v>1</v>
      </c>
      <c r="R15" s="215">
        <f>Rv_A</f>
        <v>0</v>
      </c>
      <c r="S15" s="215">
        <f>Rv_B</f>
        <v>-260.57</v>
      </c>
      <c r="T15" s="215">
        <f>Rv_C</f>
        <v>210.57</v>
      </c>
      <c r="U15" s="215">
        <f>Rv_D</f>
        <v>0</v>
      </c>
      <c r="V15" s="215">
        <f>Rv_E</f>
        <v>0</v>
      </c>
      <c r="W15" s="215">
        <f>SUM(W10:W14)</f>
        <v>100</v>
      </c>
    </row>
    <row r="16" spans="1:26" x14ac:dyDescent="0.5">
      <c r="A16" s="216" cm="1">
        <f t="array" aca="1" ref="A16" ca="1">IF(Ver_Resultados=_OK,IF(INDIRECT($C16)&gt;=0,ROUND(INDIRECT($C16),2),""),"")</f>
        <v>223.21</v>
      </c>
      <c r="B16" s="217" t="str" cm="1">
        <f t="array" aca="1" ref="B16" ca="1">IF(Ver_Resultados=_OK,IF(INDIRECT($C16)&lt;0,ROUND(INDIRECT($C16),2),""),"")</f>
        <v/>
      </c>
      <c r="C16" s="70" t="s">
        <v>78</v>
      </c>
      <c r="E16" s="220">
        <f>IF(Ver_Datos=_OK,L_,"L (m)")</f>
        <v>4</v>
      </c>
      <c r="G16" s="67" t="s">
        <v>62</v>
      </c>
      <c r="H16" s="67" t="s">
        <v>55</v>
      </c>
      <c r="I16" s="67" t="s">
        <v>157</v>
      </c>
      <c r="J16" s="67" t="s">
        <v>290</v>
      </c>
      <c r="K16" s="67" t="s">
        <v>63</v>
      </c>
      <c r="L16" s="67" t="s">
        <v>40</v>
      </c>
      <c r="M16" s="67" t="s">
        <v>132</v>
      </c>
      <c r="R16" s="131" t="s">
        <v>41</v>
      </c>
      <c r="S16" s="25" t="s">
        <v>35</v>
      </c>
      <c r="T16" s="25" t="s">
        <v>36</v>
      </c>
      <c r="U16" s="27" t="s">
        <v>37</v>
      </c>
    </row>
    <row r="17" spans="1:25" x14ac:dyDescent="0.5">
      <c r="A17" s="216" cm="1">
        <f t="array" aca="1" ref="A17" ca="1">IF(Ver_Resultados=_OK,IF(INDIRECT($C17)&gt;=0,ROUND(INDIRECT($C17),2),""),"")</f>
        <v>464.72</v>
      </c>
      <c r="B17" s="217" t="str" cm="1">
        <f t="array" aca="1" ref="B17" ca="1">IF(Ver_Resultados=_OK,IF(INDIRECT($C17)&lt;0,ROUND(INDIRECT($C17),2),""),"")</f>
        <v/>
      </c>
      <c r="C17" s="70" t="s">
        <v>79</v>
      </c>
      <c r="E17" s="220">
        <f>IF(Ver_Datos=_OK,L_,"L (m)")</f>
        <v>4</v>
      </c>
      <c r="G17" s="88">
        <v>30</v>
      </c>
      <c r="H17" s="327">
        <v>235</v>
      </c>
      <c r="I17" s="26"/>
      <c r="J17" s="26" t="s">
        <v>64</v>
      </c>
      <c r="K17" s="218">
        <f>d_^4/12</f>
        <v>1080000</v>
      </c>
      <c r="L17" s="218">
        <f>d_^2</f>
        <v>3600</v>
      </c>
      <c r="M17" s="26" t="s">
        <v>131</v>
      </c>
      <c r="R17" s="132" t="s">
        <v>72</v>
      </c>
      <c r="S17" s="294" t="s">
        <v>56</v>
      </c>
      <c r="T17" s="294" t="s">
        <v>65</v>
      </c>
      <c r="U17" s="295" t="s">
        <v>65</v>
      </c>
      <c r="W17" s="102"/>
      <c r="X17" s="155">
        <f>CODE(S17)</f>
        <v>66</v>
      </c>
      <c r="Y17" s="156">
        <f ca="1">RANDBETWEEN(65,69)</f>
        <v>65</v>
      </c>
    </row>
    <row r="18" spans="1:25" x14ac:dyDescent="0.5">
      <c r="A18" s="216" t="str" cm="1">
        <f t="array" aca="1" ref="A18" ca="1">IF(Ver_Resultados=_OK,IF(INDIRECT($C18)&gt;=0,ROUND(INDIRECT($C18),2),""),"")</f>
        <v/>
      </c>
      <c r="B18" s="217" cm="1">
        <f t="array" aca="1" ref="B18" ca="1">IF(Ver_Resultados=_OK,IF(INDIRECT($C18)&lt;0,ROUND(INDIRECT($C18),2),""),"")</f>
        <v>-619.62</v>
      </c>
      <c r="C18" s="70" t="s">
        <v>80</v>
      </c>
      <c r="E18" s="220">
        <f>IF(Ver_Datos=_OK,L_,"L (m)")</f>
        <v>4</v>
      </c>
      <c r="G18" s="88">
        <v>45</v>
      </c>
      <c r="H18" s="328">
        <v>275</v>
      </c>
      <c r="I18" s="26"/>
      <c r="J18" s="26" t="s">
        <v>57</v>
      </c>
      <c r="K18" s="218">
        <f>PI()*d_^4/64</f>
        <v>636172.51235193305</v>
      </c>
      <c r="L18" s="218">
        <f>PI()*d_^2/4</f>
        <v>2827.4333882308138</v>
      </c>
      <c r="M18" s="26" t="s">
        <v>130</v>
      </c>
      <c r="R18" s="167">
        <v>2.3094010767585029</v>
      </c>
      <c r="S18" s="76" t="s">
        <v>95</v>
      </c>
      <c r="T18" s="76" t="s">
        <v>96</v>
      </c>
      <c r="U18" s="77" t="s">
        <v>94</v>
      </c>
      <c r="W18" s="157" t="str">
        <f>IF(S17="E","A",CHAR(X17+1))</f>
        <v>C</v>
      </c>
      <c r="X18" s="158">
        <f>CODE(W18)</f>
        <v>67</v>
      </c>
      <c r="Y18" s="9"/>
    </row>
    <row r="19" spans="1:25" x14ac:dyDescent="0.5">
      <c r="A19" s="216" t="str" cm="1">
        <f t="array" aca="1" ref="A19" ca="1">IF(Ver_Resultados=_OK,IF(INDIRECT($C19)&gt;=0,ROUND(INDIRECT($C19),2),""),"")</f>
        <v/>
      </c>
      <c r="B19" s="217" cm="1">
        <f t="array" aca="1" ref="B19" ca="1">IF(Ver_Resultados=_OK,IF(INDIRECT($C19)&lt;0,ROUND(INDIRECT($C19),2),""),"")</f>
        <v>-200</v>
      </c>
      <c r="C19" s="70" t="s">
        <v>81</v>
      </c>
      <c r="E19" s="220">
        <f>IF(Ver_Datos=_OK,L_Diagonal,"L ₁ (m)")</f>
        <v>2.3094010767585029</v>
      </c>
      <c r="G19" s="88">
        <v>60</v>
      </c>
      <c r="H19" s="328">
        <v>355</v>
      </c>
      <c r="I19" s="26" t="s">
        <v>67</v>
      </c>
      <c r="J19" s="26" t="s">
        <v>66</v>
      </c>
      <c r="K19" s="89"/>
      <c r="L19" s="89"/>
      <c r="M19" s="26" t="s">
        <v>130</v>
      </c>
      <c r="R19" s="168">
        <v>4</v>
      </c>
      <c r="S19" s="105">
        <v>1</v>
      </c>
      <c r="T19" s="78">
        <v>5</v>
      </c>
      <c r="U19" s="79">
        <v>1</v>
      </c>
      <c r="V19" s="255" t="s">
        <v>3</v>
      </c>
      <c r="W19" s="157" t="str">
        <f>IF(CODE(W18)&gt;=69,"A",CHAR(CODE(W18)+1))</f>
        <v>D</v>
      </c>
      <c r="X19" s="158">
        <f>CODE(W19)</f>
        <v>68</v>
      </c>
      <c r="Y19" s="9"/>
    </row>
    <row r="20" spans="1:25" x14ac:dyDescent="0.5">
      <c r="A20" s="216" cm="1">
        <f t="array" aca="1" ref="A20" ca="1">IF(Ver_Resultados=_OK,IF(INDIRECT($C20)&gt;=0,ROUND(INDIRECT($C20),2),""),"")</f>
        <v>400</v>
      </c>
      <c r="B20" s="217" t="str" cm="1">
        <f t="array" aca="1" ref="B20" ca="1">IF(Ver_Resultados=_OK,IF(INDIRECT($C20)&lt;0,ROUND(INDIRECT($C20),2),""),"")</f>
        <v/>
      </c>
      <c r="C20" s="70" t="s">
        <v>82</v>
      </c>
      <c r="E20" s="220">
        <f>IF(Ver_Datos=_OK,L_Diagonal,"L ₁ (m)")</f>
        <v>2.3094010767585029</v>
      </c>
      <c r="G20" s="219">
        <f>ATAN(2)*180/PI()</f>
        <v>63.43494882292201</v>
      </c>
      <c r="H20" s="328">
        <v>420</v>
      </c>
      <c r="I20" s="26" t="s">
        <v>67</v>
      </c>
      <c r="J20" s="26" t="s">
        <v>69</v>
      </c>
      <c r="K20" s="89"/>
      <c r="L20" s="89"/>
      <c r="M20" s="26" t="s">
        <v>131</v>
      </c>
      <c r="R20" s="169">
        <v>1.1547005383792515</v>
      </c>
      <c r="S20" s="106">
        <v>1</v>
      </c>
      <c r="T20" s="80">
        <v>5</v>
      </c>
      <c r="U20" s="75">
        <v>1</v>
      </c>
      <c r="V20" s="256" t="s">
        <v>4</v>
      </c>
      <c r="W20" s="158" t="str">
        <f>IF(CODE(W19)&gt;=69,"A",CHAR(CODE(W19)+1))</f>
        <v>E</v>
      </c>
      <c r="X20" s="158">
        <f>CODE(W20)</f>
        <v>69</v>
      </c>
      <c r="Y20" s="9"/>
    </row>
    <row r="21" spans="1:25" x14ac:dyDescent="0.5">
      <c r="A21" s="216" cm="1">
        <f t="array" aca="1" ref="A21" ca="1">IF(Ver_Resultados=_OK,IF(INDIRECT($C21)&gt;=0,ROUND(INDIRECT($C21),2),""),"")</f>
        <v>121.14</v>
      </c>
      <c r="B21" s="217" t="str" cm="1">
        <f t="array" aca="1" ref="B21" ca="1">IF(Ver_Resultados=_OK,IF(INDIRECT($C21)&lt;0,ROUND(INDIRECT($C21),2),""),"")</f>
        <v/>
      </c>
      <c r="C21" s="70" t="s">
        <v>83</v>
      </c>
      <c r="E21" s="220">
        <f>IF(Ver_Datos=_OK,L_Diagonal,"L ₁ (m)")</f>
        <v>2.3094010767585029</v>
      </c>
      <c r="G21" s="219">
        <f>ATAN(3/4)*180/PI()</f>
        <v>36.86989764584402</v>
      </c>
      <c r="H21" s="329"/>
      <c r="I21" s="26"/>
      <c r="J21" s="26" t="s">
        <v>71</v>
      </c>
      <c r="K21" s="89"/>
      <c r="L21" s="89"/>
      <c r="M21" s="26"/>
      <c r="R21" s="170">
        <v>30</v>
      </c>
      <c r="S21" s="87"/>
      <c r="T21" s="74"/>
      <c r="U21" s="84"/>
      <c r="V21" s="257" t="s">
        <v>197</v>
      </c>
      <c r="W21" s="159" t="str">
        <f>IF(CODE(W20)&gt;=69,"A",CHAR(CODE(W20)+1))</f>
        <v>A</v>
      </c>
      <c r="X21" s="159">
        <f>CODE(W21)</f>
        <v>65</v>
      </c>
      <c r="Y21" s="84"/>
    </row>
    <row r="22" spans="1:25" x14ac:dyDescent="0.5">
      <c r="A22" s="216" t="str" cm="1">
        <f t="array" aca="1" ref="A22" ca="1">IF(Ver_Resultados=_OK,IF(INDIRECT($C22)&gt;=0,ROUND(INDIRECT($C22),2),""),"")</f>
        <v/>
      </c>
      <c r="B22" s="217" cm="1">
        <f t="array" aca="1" ref="B22" ca="1">IF(Ver_Resultados=_OK,IF(INDIRECT($C22)&lt;0,ROUND(INDIRECT($C22),2),""),"")</f>
        <v>-421.14</v>
      </c>
      <c r="C22" s="70" t="s">
        <v>84</v>
      </c>
      <c r="E22" s="220">
        <f>IF(Ver_Datos=_OK,L_Diagonal,"L ₁ (m)")</f>
        <v>2.3094010767585029</v>
      </c>
      <c r="G22" s="219">
        <f>ATAN(4/3)*180/PI()</f>
        <v>53.13010235415598</v>
      </c>
      <c r="H22" s="329"/>
      <c r="I22" s="26"/>
      <c r="J22" s="97"/>
      <c r="K22" s="89"/>
      <c r="L22" s="89"/>
      <c r="M22" s="97"/>
      <c r="R22" s="174">
        <v>60</v>
      </c>
      <c r="S22" s="78">
        <v>5</v>
      </c>
      <c r="T22" s="78">
        <v>100</v>
      </c>
      <c r="U22" s="78">
        <v>5</v>
      </c>
      <c r="V22" s="255" t="s">
        <v>5</v>
      </c>
    </row>
    <row r="23" spans="1:25" x14ac:dyDescent="0.5">
      <c r="C23" s="93" t="s">
        <v>1</v>
      </c>
      <c r="E23" s="220">
        <f>IF(Ver_Datos=_OK,h_,"h (m)")</f>
        <v>1.1547005383792515</v>
      </c>
      <c r="G23" s="65" t="s">
        <v>61</v>
      </c>
      <c r="H23" s="65">
        <v>4</v>
      </c>
      <c r="R23" s="175" t="s">
        <v>57</v>
      </c>
      <c r="S23" s="164" t="str">
        <f>VLOOKUP(Tipo_Seccion_Ale,T_Datos[[Seccion]:[Geom]],4,0)</f>
        <v>diámetro</v>
      </c>
      <c r="T23" s="165">
        <f>VLOOKUP(Tipo_Seccion_Ale,T_Datos[[Seccion]:[Geom]],2,0)</f>
        <v>636172.51235193305</v>
      </c>
      <c r="U23" s="166">
        <f>(Inercia/Area)^0.5</f>
        <v>14.999999999999998</v>
      </c>
      <c r="V23" s="124" t="s">
        <v>160</v>
      </c>
    </row>
    <row r="24" spans="1:25" x14ac:dyDescent="0.5">
      <c r="C24" s="93" t="s">
        <v>85</v>
      </c>
      <c r="E24" s="220">
        <f>IF(Ver_Datos=_OK,L_AB_Ver/2,"L/2 (m)")</f>
        <v>2</v>
      </c>
      <c r="R24" s="176">
        <v>235</v>
      </c>
      <c r="S24" s="8"/>
      <c r="T24" s="8"/>
      <c r="U24" s="8"/>
      <c r="V24" s="255" t="s">
        <v>55</v>
      </c>
    </row>
    <row r="25" spans="1:25" x14ac:dyDescent="0.5">
      <c r="R25" s="177">
        <v>3</v>
      </c>
      <c r="S25" s="125">
        <v>1</v>
      </c>
      <c r="T25" s="125">
        <v>4</v>
      </c>
      <c r="U25" s="178" t="str">
        <f>IFERROR(CHAR(R25+96),"d")</f>
        <v>c</v>
      </c>
      <c r="V25" s="260" t="s">
        <v>196</v>
      </c>
    </row>
    <row r="26" spans="1:25" x14ac:dyDescent="0.5">
      <c r="C26" s="94" t="s">
        <v>86</v>
      </c>
      <c r="E26" s="221" t="str">
        <f>IF(Ver_Datos=_OK,ROUND(alfa_,1)&amp;"°","α")</f>
        <v>30°</v>
      </c>
      <c r="R26" s="171">
        <v>100</v>
      </c>
      <c r="S26" s="161">
        <f t="shared" ref="S26:S35" si="2">-T26</f>
        <v>-4</v>
      </c>
      <c r="T26" s="78">
        <v>4</v>
      </c>
      <c r="U26" s="79">
        <v>50</v>
      </c>
      <c r="V26" s="258" t="s">
        <v>112</v>
      </c>
    </row>
    <row r="27" spans="1:25" ht="14.35" customHeight="1" x14ac:dyDescent="0.5">
      <c r="B27" s="62" t="s">
        <v>58</v>
      </c>
      <c r="C27" s="62"/>
      <c r="D27" s="62"/>
      <c r="E27" s="62"/>
      <c r="F27" s="62"/>
      <c r="R27" s="172">
        <v>0</v>
      </c>
      <c r="S27" s="162">
        <f t="shared" si="2"/>
        <v>-3</v>
      </c>
      <c r="T27" s="80">
        <v>3</v>
      </c>
      <c r="U27" s="163">
        <f t="shared" ref="U27:U35" si="3">U26</f>
        <v>50</v>
      </c>
      <c r="V27" s="259" t="s">
        <v>113</v>
      </c>
    </row>
    <row r="28" spans="1:25" ht="14.35" customHeight="1" x14ac:dyDescent="0.5">
      <c r="A28" s="67" t="s">
        <v>59</v>
      </c>
      <c r="B28" s="67" t="s">
        <v>60</v>
      </c>
      <c r="C28" s="63" t="s">
        <v>53</v>
      </c>
      <c r="E28" s="62"/>
      <c r="R28" s="172">
        <v>0</v>
      </c>
      <c r="S28" s="162">
        <f t="shared" si="2"/>
        <v>-4</v>
      </c>
      <c r="T28" s="80">
        <v>4</v>
      </c>
      <c r="U28" s="163">
        <f t="shared" si="3"/>
        <v>50</v>
      </c>
      <c r="V28" s="259" t="s">
        <v>114</v>
      </c>
    </row>
    <row r="29" spans="1:25" ht="14.35" customHeight="1" x14ac:dyDescent="0.5">
      <c r="A29" s="95">
        <v>0</v>
      </c>
      <c r="B29" s="104">
        <v>0</v>
      </c>
      <c r="C29" s="108" t="s">
        <v>21</v>
      </c>
      <c r="E29" s="62"/>
      <c r="R29" s="172">
        <v>100</v>
      </c>
      <c r="S29" s="162">
        <f t="shared" si="2"/>
        <v>-3</v>
      </c>
      <c r="T29" s="80">
        <v>3</v>
      </c>
      <c r="U29" s="163">
        <f t="shared" si="3"/>
        <v>50</v>
      </c>
      <c r="V29" s="259" t="s">
        <v>115</v>
      </c>
    </row>
    <row r="30" spans="1:25" ht="14.35" customHeight="1" x14ac:dyDescent="0.5">
      <c r="A30" s="222">
        <f>L_</f>
        <v>4</v>
      </c>
      <c r="B30" s="223">
        <f>Y_A</f>
        <v>0</v>
      </c>
      <c r="C30" s="109" t="s">
        <v>56</v>
      </c>
      <c r="E30" s="65"/>
      <c r="R30" s="172">
        <v>-150</v>
      </c>
      <c r="S30" s="162">
        <f t="shared" si="2"/>
        <v>-5</v>
      </c>
      <c r="T30" s="80">
        <v>5</v>
      </c>
      <c r="U30" s="163">
        <f t="shared" si="3"/>
        <v>50</v>
      </c>
      <c r="V30" s="259" t="s">
        <v>116</v>
      </c>
    </row>
    <row r="31" spans="1:25" ht="14.35" customHeight="1" x14ac:dyDescent="0.5">
      <c r="A31" s="222">
        <f>L_*2</f>
        <v>8</v>
      </c>
      <c r="B31" s="223">
        <f>Y_B</f>
        <v>0</v>
      </c>
      <c r="C31" s="108" t="s">
        <v>65</v>
      </c>
      <c r="E31" s="65"/>
      <c r="R31" s="172">
        <v>-50</v>
      </c>
      <c r="S31" s="162">
        <f t="shared" si="2"/>
        <v>-3</v>
      </c>
      <c r="T31" s="80">
        <v>3</v>
      </c>
      <c r="U31" s="163">
        <f t="shared" si="3"/>
        <v>50</v>
      </c>
      <c r="V31" s="259" t="s">
        <v>117</v>
      </c>
    </row>
    <row r="32" spans="1:25" ht="14.35" customHeight="1" x14ac:dyDescent="0.5">
      <c r="A32" s="222">
        <f>L_/2</f>
        <v>2</v>
      </c>
      <c r="B32" s="223">
        <f>h_</f>
        <v>1.1547005383792515</v>
      </c>
      <c r="C32" s="108" t="s">
        <v>68</v>
      </c>
      <c r="E32" s="65"/>
      <c r="R32" s="172">
        <v>0</v>
      </c>
      <c r="S32" s="162">
        <f t="shared" si="2"/>
        <v>-3</v>
      </c>
      <c r="T32" s="80">
        <v>3</v>
      </c>
      <c r="U32" s="163">
        <f t="shared" si="3"/>
        <v>50</v>
      </c>
      <c r="V32" s="259" t="s">
        <v>118</v>
      </c>
    </row>
    <row r="33" spans="1:22" ht="14.35" customHeight="1" x14ac:dyDescent="0.5">
      <c r="A33" s="222">
        <f>L_+X_D</f>
        <v>6</v>
      </c>
      <c r="B33" s="223">
        <f>Y_D</f>
        <v>1.1547005383792515</v>
      </c>
      <c r="C33" s="108" t="s">
        <v>70</v>
      </c>
      <c r="E33" s="65"/>
      <c r="R33" s="172">
        <v>0</v>
      </c>
      <c r="S33" s="162">
        <f t="shared" si="2"/>
        <v>-3</v>
      </c>
      <c r="T33" s="80">
        <v>3</v>
      </c>
      <c r="U33" s="163">
        <f t="shared" si="3"/>
        <v>50</v>
      </c>
      <c r="V33" s="259" t="s">
        <v>119</v>
      </c>
    </row>
    <row r="34" spans="1:22" ht="14.35" customHeight="1" x14ac:dyDescent="0.5">
      <c r="A34" s="224">
        <f>B34*PI()/180</f>
        <v>0.52359877559829882</v>
      </c>
      <c r="B34" s="225">
        <f>alfa_Ale</f>
        <v>30</v>
      </c>
      <c r="C34" s="107" t="s">
        <v>52</v>
      </c>
      <c r="R34" s="172">
        <v>100</v>
      </c>
      <c r="S34" s="162">
        <f t="shared" si="2"/>
        <v>-3</v>
      </c>
      <c r="T34" s="80">
        <v>3</v>
      </c>
      <c r="U34" s="163">
        <f t="shared" si="3"/>
        <v>50</v>
      </c>
      <c r="V34" s="259" t="s">
        <v>120</v>
      </c>
    </row>
    <row r="35" spans="1:22" x14ac:dyDescent="0.5">
      <c r="A35" s="440" t="s">
        <v>203</v>
      </c>
      <c r="B35" s="440"/>
      <c r="C35" s="440"/>
      <c r="D35" s="440"/>
      <c r="E35" s="440"/>
      <c r="F35" s="68"/>
      <c r="G35" s="440" t="s">
        <v>204</v>
      </c>
      <c r="H35" s="440"/>
      <c r="I35" s="440"/>
      <c r="J35" s="440"/>
      <c r="K35" s="440"/>
      <c r="R35" s="173">
        <v>-150</v>
      </c>
      <c r="S35" s="162">
        <f t="shared" si="2"/>
        <v>-3</v>
      </c>
      <c r="T35" s="80">
        <v>3</v>
      </c>
      <c r="U35" s="163">
        <f t="shared" si="3"/>
        <v>50</v>
      </c>
      <c r="V35" s="259" t="s">
        <v>121</v>
      </c>
    </row>
    <row r="36" spans="1:22" ht="14.35" customHeight="1" x14ac:dyDescent="0.5">
      <c r="A36" s="127" t="s">
        <v>195</v>
      </c>
      <c r="B36" s="226">
        <f ca="1">MIN(Tabla6[[#All],[Landa]])</f>
        <v>39.024390243902438</v>
      </c>
      <c r="C36" s="120"/>
      <c r="D36" s="120"/>
      <c r="E36" s="120"/>
      <c r="G36" s="127"/>
      <c r="H36" s="128" t="s">
        <v>199</v>
      </c>
      <c r="I36" s="227">
        <f ca="1">PROBLEMA!C101</f>
        <v>108</v>
      </c>
      <c r="J36" s="128" t="s">
        <v>195</v>
      </c>
      <c r="K36" s="226">
        <f ca="1">MIN(Tabla7[Landa])</f>
        <v>35.087719298245617</v>
      </c>
    </row>
    <row r="37" spans="1:22" ht="14.35" customHeight="1" x14ac:dyDescent="0.5">
      <c r="A37" t="s">
        <v>40</v>
      </c>
      <c r="B37" t="s">
        <v>161</v>
      </c>
      <c r="C37" t="s">
        <v>184</v>
      </c>
      <c r="D37" t="s">
        <v>185</v>
      </c>
      <c r="E37" s="65" t="s">
        <v>187</v>
      </c>
      <c r="G37" t="s">
        <v>20</v>
      </c>
      <c r="H37" t="s">
        <v>198</v>
      </c>
      <c r="I37" t="s">
        <v>5</v>
      </c>
      <c r="J37" t="s">
        <v>161</v>
      </c>
      <c r="K37" t="s">
        <v>184</v>
      </c>
    </row>
    <row r="38" spans="1:22" ht="14.35" customHeight="1" x14ac:dyDescent="0.5">
      <c r="A38" s="228">
        <f t="shared" ref="A38:A101" si="4">E38^2*IF(Tipo_Seccion_Ale=$J$17,1,PI()/4)</f>
        <v>3216.9908772759482</v>
      </c>
      <c r="B38" s="228">
        <f ca="1">PROBLEMA!$F$84/(E38/IF(Tipo_Seccion_Ale=$J$17,12^0.5,4))</f>
        <v>250</v>
      </c>
      <c r="C38" s="229">
        <f t="shared" ref="C38:C101" ca="1" si="5">IFERROR(VLOOKUP(ROUNDUP(B38,0),Coef_w,Tipo_Ale+1),1)</f>
        <v>8.4499999999999993</v>
      </c>
      <c r="D38" s="230">
        <f t="shared" ref="D38:D101" ca="1" si="6">A38/C38</f>
        <v>380.70897955928382</v>
      </c>
      <c r="E38" s="231">
        <f>MAX(d_min_esb,d_min_trac)+ROW()-38</f>
        <v>64</v>
      </c>
      <c r="G38" s="232">
        <f t="shared" ref="G38:G101" ca="1" si="7">I38^2*IF(Tipo_Seccion_Ale=$J$17,1,PI()/4)</f>
        <v>9503.317777109125</v>
      </c>
      <c r="H38" s="158">
        <f ca="1">PROBLEMA!$E$105/G38*K38</f>
        <v>219.07330143318782</v>
      </c>
      <c r="I38" s="158">
        <f t="shared" ref="I38:I101" ca="1" si="8">$I$36+ROW()-36</f>
        <v>110</v>
      </c>
      <c r="J38" s="233">
        <f ca="1">PROBLEMA!$F$102/(I38/IF(Tipo_Seccion_Ale=$J$17,12^0.5,4))</f>
        <v>145.45454545454547</v>
      </c>
      <c r="K38" s="234">
        <f t="shared" ref="K38:K101" ca="1" si="9">IFERROR(VLOOKUP(ROUNDUP(J38,0),Coef_w,Tipo_Ale+1),1)</f>
        <v>3.36</v>
      </c>
    </row>
    <row r="39" spans="1:22" ht="14.35" customHeight="1" x14ac:dyDescent="0.5">
      <c r="A39" s="228">
        <f t="shared" si="4"/>
        <v>3318.3072403542192</v>
      </c>
      <c r="B39" s="228">
        <f ca="1">PROBLEMA!$F$84/(E39/IF(Tipo_Seccion_Ale=$J$17,12^0.5,4))</f>
        <v>246.15384615384616</v>
      </c>
      <c r="C39" s="229">
        <f t="shared" ca="1" si="5"/>
        <v>8.27</v>
      </c>
      <c r="D39" s="230">
        <f t="shared" ca="1" si="6"/>
        <v>401.2463410343675</v>
      </c>
      <c r="E39" s="231">
        <f t="shared" ref="E39:E102" si="10">E38+1</f>
        <v>65</v>
      </c>
      <c r="G39" s="232">
        <f t="shared" ca="1" si="7"/>
        <v>9676.8907712199598</v>
      </c>
      <c r="H39" s="158">
        <f ca="1">PROBLEMA!$E$105/G39*K39</f>
        <v>213.22288829967613</v>
      </c>
      <c r="I39" s="158">
        <f t="shared" ca="1" si="8"/>
        <v>111</v>
      </c>
      <c r="J39" s="233">
        <f ca="1">PROBLEMA!$F$102/(I39/IF(Tipo_Seccion_Ale=$J$17,12^0.5,4))</f>
        <v>144.14414414414415</v>
      </c>
      <c r="K39" s="234">
        <f t="shared" ca="1" si="9"/>
        <v>3.33</v>
      </c>
    </row>
    <row r="40" spans="1:22" ht="14.35" customHeight="1" x14ac:dyDescent="0.5">
      <c r="A40" s="228">
        <f t="shared" si="4"/>
        <v>3421.1943997592848</v>
      </c>
      <c r="B40" s="228">
        <f ca="1">PROBLEMA!$F$84/(E40/IF(Tipo_Seccion_Ale=$J$17,12^0.5,4))</f>
        <v>242.42424242424244</v>
      </c>
      <c r="C40" s="229">
        <f t="shared" ca="1" si="5"/>
        <v>8.0299999999999994</v>
      </c>
      <c r="D40" s="230">
        <f t="shared" ca="1" si="6"/>
        <v>426.05160644573914</v>
      </c>
      <c r="E40" s="231">
        <f t="shared" si="10"/>
        <v>66</v>
      </c>
      <c r="G40" s="232">
        <f t="shared" ca="1" si="7"/>
        <v>9852.0345616575905</v>
      </c>
      <c r="H40" s="158">
        <f ca="1">PROBLEMA!$E$105/G40*K40</f>
        <v>204.40092728026187</v>
      </c>
      <c r="I40" s="158">
        <f t="shared" ca="1" si="8"/>
        <v>112</v>
      </c>
      <c r="J40" s="233">
        <f ca="1">PROBLEMA!$F$102/(I40/IF(Tipo_Seccion_Ale=$J$17,12^0.5,4))</f>
        <v>142.85714285714286</v>
      </c>
      <c r="K40" s="234">
        <f t="shared" ca="1" si="9"/>
        <v>3.25</v>
      </c>
    </row>
    <row r="41" spans="1:22" ht="14.35" customHeight="1" x14ac:dyDescent="0.5">
      <c r="A41" s="228">
        <f t="shared" si="4"/>
        <v>3525.6523554911455</v>
      </c>
      <c r="B41" s="228">
        <f ca="1">PROBLEMA!$F$84/(E41/IF(Tipo_Seccion_Ale=$J$17,12^0.5,4))</f>
        <v>238.80597014925374</v>
      </c>
      <c r="C41" s="229">
        <f t="shared" ca="1" si="5"/>
        <v>7.79</v>
      </c>
      <c r="D41" s="230">
        <f t="shared" ca="1" si="6"/>
        <v>452.58695192440894</v>
      </c>
      <c r="E41" s="231">
        <f t="shared" si="10"/>
        <v>67</v>
      </c>
      <c r="G41" s="232">
        <f t="shared" ca="1" si="7"/>
        <v>10028.749148422017</v>
      </c>
      <c r="H41" s="158">
        <f ca="1">PROBLEMA!$E$105/G41*K41</f>
        <v>198.9456880885223</v>
      </c>
      <c r="I41" s="158">
        <f t="shared" ca="1" si="8"/>
        <v>113</v>
      </c>
      <c r="J41" s="233">
        <f ca="1">PROBLEMA!$F$102/(I41/IF(Tipo_Seccion_Ale=$J$17,12^0.5,4))</f>
        <v>141.59292035398229</v>
      </c>
      <c r="K41" s="234">
        <f t="shared" ca="1" si="9"/>
        <v>3.22</v>
      </c>
    </row>
    <row r="42" spans="1:22" ht="14.35" customHeight="1" x14ac:dyDescent="0.5">
      <c r="A42" s="228">
        <f t="shared" si="4"/>
        <v>3631.6811075498008</v>
      </c>
      <c r="B42" s="228">
        <f ca="1">PROBLEMA!$F$84/(E42/IF(Tipo_Seccion_Ale=$J$17,12^0.5,4))</f>
        <v>235.29411764705881</v>
      </c>
      <c r="C42" s="229">
        <f t="shared" ca="1" si="5"/>
        <v>7.62</v>
      </c>
      <c r="D42" s="230">
        <f t="shared" ca="1" si="6"/>
        <v>476.59857054459326</v>
      </c>
      <c r="E42" s="231">
        <f t="shared" si="10"/>
        <v>68</v>
      </c>
      <c r="G42" s="232">
        <f t="shared" ca="1" si="7"/>
        <v>10207.034531513238</v>
      </c>
      <c r="H42" s="158">
        <f ca="1">PROBLEMA!$E$105/G42*K42</f>
        <v>193.04251336826633</v>
      </c>
      <c r="I42" s="158">
        <f t="shared" ca="1" si="8"/>
        <v>114</v>
      </c>
      <c r="J42" s="233">
        <f ca="1">PROBLEMA!$F$102/(I42/IF(Tipo_Seccion_Ale=$J$17,12^0.5,4))</f>
        <v>140.35087719298247</v>
      </c>
      <c r="K42" s="234">
        <f t="shared" ca="1" si="9"/>
        <v>3.18</v>
      </c>
    </row>
    <row r="43" spans="1:22" ht="14.35" customHeight="1" x14ac:dyDescent="0.5">
      <c r="A43" s="228">
        <f t="shared" si="4"/>
        <v>3739.2806559352512</v>
      </c>
      <c r="B43" s="228">
        <f ca="1">PROBLEMA!$F$84/(E43/IF(Tipo_Seccion_Ale=$J$17,12^0.5,4))</f>
        <v>231.8840579710145</v>
      </c>
      <c r="C43" s="229">
        <f t="shared" ca="1" si="5"/>
        <v>7.39</v>
      </c>
      <c r="D43" s="230">
        <f t="shared" ca="1" si="6"/>
        <v>505.99196968000695</v>
      </c>
      <c r="E43" s="231">
        <f t="shared" si="10"/>
        <v>69</v>
      </c>
      <c r="G43" s="232">
        <f t="shared" ca="1" si="7"/>
        <v>10386.890710931253</v>
      </c>
      <c r="H43" s="158">
        <f ca="1">PROBLEMA!$E$105/G43*K43</f>
        <v>187.91022783612286</v>
      </c>
      <c r="I43" s="158">
        <f t="shared" ca="1" si="8"/>
        <v>115</v>
      </c>
      <c r="J43" s="233">
        <f ca="1">PROBLEMA!$F$102/(I43/IF(Tipo_Seccion_Ale=$J$17,12^0.5,4))</f>
        <v>139.13043478260869</v>
      </c>
      <c r="K43" s="234">
        <f t="shared" ca="1" si="9"/>
        <v>3.15</v>
      </c>
    </row>
    <row r="44" spans="1:22" ht="14.35" customHeight="1" x14ac:dyDescent="0.5">
      <c r="A44" s="228">
        <f t="shared" si="4"/>
        <v>3848.4510006474966</v>
      </c>
      <c r="B44" s="228">
        <f ca="1">PROBLEMA!$F$84/(E44/IF(Tipo_Seccion_Ale=$J$17,12^0.5,4))</f>
        <v>228.57142857142858</v>
      </c>
      <c r="C44" s="229">
        <f t="shared" ca="1" si="5"/>
        <v>7.22</v>
      </c>
      <c r="D44" s="230">
        <f t="shared" ca="1" si="6"/>
        <v>533.02645438330978</v>
      </c>
      <c r="E44" s="231">
        <f t="shared" si="10"/>
        <v>70</v>
      </c>
      <c r="G44" s="232">
        <f t="shared" ca="1" si="7"/>
        <v>10568.317686676064</v>
      </c>
      <c r="H44" s="158">
        <f ca="1">PROBLEMA!$E$105/G44*K44</f>
        <v>180.58026419910141</v>
      </c>
      <c r="I44" s="158">
        <f t="shared" ca="1" si="8"/>
        <v>116</v>
      </c>
      <c r="J44" s="233">
        <f ca="1">PROBLEMA!$F$102/(I44/IF(Tipo_Seccion_Ale=$J$17,12^0.5,4))</f>
        <v>137.93103448275863</v>
      </c>
      <c r="K44" s="234">
        <f t="shared" ca="1" si="9"/>
        <v>3.08</v>
      </c>
    </row>
    <row r="45" spans="1:22" ht="14.35" customHeight="1" x14ac:dyDescent="0.5">
      <c r="A45" s="228">
        <f t="shared" si="4"/>
        <v>3959.1921416865366</v>
      </c>
      <c r="B45" s="228">
        <f ca="1">PROBLEMA!$F$84/(E45/IF(Tipo_Seccion_Ale=$J$17,12^0.5,4))</f>
        <v>225.35211267605635</v>
      </c>
      <c r="C45" s="229">
        <f t="shared" ca="1" si="5"/>
        <v>7.05</v>
      </c>
      <c r="D45" s="230">
        <f t="shared" ca="1" si="6"/>
        <v>561.58753782787755</v>
      </c>
      <c r="E45" s="231">
        <f t="shared" si="10"/>
        <v>71</v>
      </c>
      <c r="G45" s="232">
        <f t="shared" ca="1" si="7"/>
        <v>10751.315458747669</v>
      </c>
      <c r="H45" s="158">
        <f ca="1">PROBLEMA!$E$105/G45*K45</f>
        <v>175.77765318590434</v>
      </c>
      <c r="I45" s="158">
        <f t="shared" ca="1" si="8"/>
        <v>117</v>
      </c>
      <c r="J45" s="233">
        <f ca="1">PROBLEMA!$F$102/(I45/IF(Tipo_Seccion_Ale=$J$17,12^0.5,4))</f>
        <v>136.75213675213675</v>
      </c>
      <c r="K45" s="234">
        <f t="shared" ca="1" si="9"/>
        <v>3.05</v>
      </c>
    </row>
    <row r="46" spans="1:22" ht="14.35" customHeight="1" x14ac:dyDescent="0.5">
      <c r="A46" s="228">
        <f t="shared" si="4"/>
        <v>4071.5040790523717</v>
      </c>
      <c r="B46" s="228">
        <f ca="1">PROBLEMA!$F$84/(E46/IF(Tipo_Seccion_Ale=$J$17,12^0.5,4))</f>
        <v>222.22222222222223</v>
      </c>
      <c r="C46" s="229">
        <f t="shared" ca="1" si="5"/>
        <v>6.89</v>
      </c>
      <c r="D46" s="230">
        <f t="shared" ca="1" si="6"/>
        <v>590.92947446333415</v>
      </c>
      <c r="E46" s="231">
        <f t="shared" si="10"/>
        <v>72</v>
      </c>
      <c r="G46" s="232">
        <f t="shared" ca="1" si="7"/>
        <v>10935.88402714607</v>
      </c>
      <c r="H46" s="158">
        <f ca="1">PROBLEMA!$E$105/G46*K46</f>
        <v>170.54462130088282</v>
      </c>
      <c r="I46" s="158">
        <f t="shared" ca="1" si="8"/>
        <v>118</v>
      </c>
      <c r="J46" s="233">
        <f ca="1">PROBLEMA!$F$102/(I46/IF(Tipo_Seccion_Ale=$J$17,12^0.5,4))</f>
        <v>135.59322033898306</v>
      </c>
      <c r="K46" s="234">
        <f t="shared" ca="1" si="9"/>
        <v>3.01</v>
      </c>
    </row>
    <row r="47" spans="1:22" x14ac:dyDescent="0.5">
      <c r="A47" s="228">
        <f t="shared" si="4"/>
        <v>4185.3868127450023</v>
      </c>
      <c r="B47" s="228">
        <f ca="1">PROBLEMA!$F$84/(E47/IF(Tipo_Seccion_Ale=$J$17,12^0.5,4))</f>
        <v>219.17808219178082</v>
      </c>
      <c r="C47" s="229">
        <f t="shared" ca="1" si="5"/>
        <v>6.72</v>
      </c>
      <c r="D47" s="230">
        <f t="shared" ca="1" si="6"/>
        <v>622.8254185632444</v>
      </c>
      <c r="E47" s="231">
        <f t="shared" si="10"/>
        <v>73</v>
      </c>
      <c r="G47" s="232">
        <f t="shared" ca="1" si="7"/>
        <v>11122.023391871266</v>
      </c>
      <c r="H47" s="158">
        <f ca="1">PROBLEMA!$E$105/G47*K47</f>
        <v>166.0190358302541</v>
      </c>
      <c r="I47" s="158">
        <f t="shared" ca="1" si="8"/>
        <v>119</v>
      </c>
      <c r="J47" s="233">
        <f ca="1">PROBLEMA!$F$102/(I47/IF(Tipo_Seccion_Ale=$J$17,12^0.5,4))</f>
        <v>134.45378151260505</v>
      </c>
      <c r="K47" s="234">
        <f t="shared" ca="1" si="9"/>
        <v>2.98</v>
      </c>
    </row>
    <row r="48" spans="1:22" x14ac:dyDescent="0.5">
      <c r="A48" s="228">
        <f t="shared" si="4"/>
        <v>4300.8403427644271</v>
      </c>
      <c r="B48" s="228">
        <f ca="1">PROBLEMA!$F$84/(E48/IF(Tipo_Seccion_Ale=$J$17,12^0.5,4))</f>
        <v>216.21621621621622</v>
      </c>
      <c r="C48" s="229">
        <f t="shared" ca="1" si="5"/>
        <v>6.56</v>
      </c>
      <c r="D48" s="230">
        <f t="shared" ca="1" si="6"/>
        <v>655.61590590921151</v>
      </c>
      <c r="E48" s="231">
        <f t="shared" si="10"/>
        <v>74</v>
      </c>
      <c r="G48" s="232">
        <f t="shared" ca="1" si="7"/>
        <v>11309.733552923255</v>
      </c>
      <c r="H48" s="158">
        <f ca="1">PROBLEMA!$E$105/G48*K48</f>
        <v>161.61998790215034</v>
      </c>
      <c r="I48" s="158">
        <f t="shared" ca="1" si="8"/>
        <v>120</v>
      </c>
      <c r="J48" s="233">
        <f ca="1">PROBLEMA!$F$102/(I48/IF(Tipo_Seccion_Ale=$J$17,12^0.5,4))</f>
        <v>133.33333333333334</v>
      </c>
      <c r="K48" s="234">
        <f t="shared" ca="1" si="9"/>
        <v>2.95</v>
      </c>
    </row>
    <row r="49" spans="1:11" x14ac:dyDescent="0.5">
      <c r="A49" s="228">
        <f t="shared" si="4"/>
        <v>4417.8646691106469</v>
      </c>
      <c r="B49" s="228">
        <f ca="1">PROBLEMA!$F$84/(E49/IF(Tipo_Seccion_Ale=$J$17,12^0.5,4))</f>
        <v>213.33333333333334</v>
      </c>
      <c r="C49" s="229">
        <f t="shared" ca="1" si="5"/>
        <v>6.4</v>
      </c>
      <c r="D49" s="230">
        <f t="shared" ca="1" si="6"/>
        <v>690.29135454853849</v>
      </c>
      <c r="E49" s="231">
        <f t="shared" si="10"/>
        <v>75</v>
      </c>
      <c r="G49" s="235">
        <f t="shared" ca="1" si="7"/>
        <v>11499.01451030204</v>
      </c>
      <c r="H49" s="158">
        <f ca="1">PROBLEMA!$E$105/G49*K49</f>
        <v>156.80423730090925</v>
      </c>
      <c r="I49" s="158">
        <f t="shared" ca="1" si="8"/>
        <v>121</v>
      </c>
      <c r="J49" s="236">
        <f ca="1">PROBLEMA!$F$102/(I49/IF(Tipo_Seccion_Ale=$J$17,12^0.5,4))</f>
        <v>132.23140495867767</v>
      </c>
      <c r="K49" s="237">
        <f t="shared" ca="1" si="9"/>
        <v>2.91</v>
      </c>
    </row>
    <row r="50" spans="1:11" x14ac:dyDescent="0.5">
      <c r="A50" s="228">
        <f t="shared" si="4"/>
        <v>4536.4597917836609</v>
      </c>
      <c r="B50" s="228">
        <f ca="1">PROBLEMA!$F$84/(E50/IF(Tipo_Seccion_Ale=$J$17,12^0.5,4))</f>
        <v>210.52631578947367</v>
      </c>
      <c r="C50" s="229">
        <f t="shared" ca="1" si="5"/>
        <v>6.24</v>
      </c>
      <c r="D50" s="230">
        <f t="shared" ca="1" si="6"/>
        <v>726.99676150379173</v>
      </c>
      <c r="E50" s="231">
        <f t="shared" si="10"/>
        <v>76</v>
      </c>
      <c r="G50" s="232">
        <f t="shared" ca="1" si="7"/>
        <v>11689.86626400762</v>
      </c>
      <c r="H50" s="158">
        <f ca="1">PROBLEMA!$E$105/G50*K50</f>
        <v>152.65406461444158</v>
      </c>
      <c r="I50" s="158">
        <f t="shared" ca="1" si="8"/>
        <v>122</v>
      </c>
      <c r="J50" s="233">
        <f ca="1">PROBLEMA!$F$102/(I50/IF(Tipo_Seccion_Ale=$J$17,12^0.5,4))</f>
        <v>131.14754098360655</v>
      </c>
      <c r="K50" s="234">
        <f t="shared" ca="1" si="9"/>
        <v>2.88</v>
      </c>
    </row>
    <row r="51" spans="1:11" x14ac:dyDescent="0.5">
      <c r="A51" s="228">
        <f t="shared" si="4"/>
        <v>4656.6257107834708</v>
      </c>
      <c r="B51" s="228">
        <f ca="1">PROBLEMA!$F$84/(E51/IF(Tipo_Seccion_Ale=$J$17,12^0.5,4))</f>
        <v>207.79220779220779</v>
      </c>
      <c r="C51" s="229">
        <f t="shared" ca="1" si="5"/>
        <v>6.09</v>
      </c>
      <c r="D51" s="230">
        <f t="shared" ca="1" si="6"/>
        <v>764.63476367544683</v>
      </c>
      <c r="E51" s="231">
        <f t="shared" si="10"/>
        <v>77</v>
      </c>
      <c r="G51" s="232">
        <f t="shared" ca="1" si="7"/>
        <v>11882.288814039995</v>
      </c>
      <c r="H51" s="158">
        <f ca="1">PROBLEMA!$E$105/G51*K51</f>
        <v>148.61757929275461</v>
      </c>
      <c r="I51" s="158">
        <f t="shared" ca="1" si="8"/>
        <v>123</v>
      </c>
      <c r="J51" s="233">
        <f ca="1">PROBLEMA!$F$102/(I51/IF(Tipo_Seccion_Ale=$J$17,12^0.5,4))</f>
        <v>130.08130081300814</v>
      </c>
      <c r="K51" s="234">
        <f t="shared" ca="1" si="9"/>
        <v>2.85</v>
      </c>
    </row>
    <row r="52" spans="1:11" x14ac:dyDescent="0.5">
      <c r="A52" s="228">
        <f t="shared" si="4"/>
        <v>4778.3624261100749</v>
      </c>
      <c r="B52" s="228">
        <f ca="1">PROBLEMA!$F$84/(E52/IF(Tipo_Seccion_Ale=$J$17,12^0.5,4))</f>
        <v>205.12820512820514</v>
      </c>
      <c r="C52" s="229">
        <f t="shared" ca="1" si="5"/>
        <v>5.98</v>
      </c>
      <c r="D52" s="230">
        <f t="shared" ca="1" si="6"/>
        <v>799.05726189131678</v>
      </c>
      <c r="E52" s="231">
        <f t="shared" si="10"/>
        <v>78</v>
      </c>
      <c r="G52" s="232">
        <f t="shared" ca="1" si="7"/>
        <v>12076.282160399165</v>
      </c>
      <c r="H52" s="158">
        <f ca="1">PROBLEMA!$E$105/G52*K52</f>
        <v>144.69092199003774</v>
      </c>
      <c r="I52" s="158">
        <f t="shared" ca="1" si="8"/>
        <v>124</v>
      </c>
      <c r="J52" s="233">
        <f ca="1">PROBLEMA!$F$102/(I52/IF(Tipo_Seccion_Ale=$J$17,12^0.5,4))</f>
        <v>129.03225806451613</v>
      </c>
      <c r="K52" s="234">
        <f t="shared" ca="1" si="9"/>
        <v>2.82</v>
      </c>
    </row>
    <row r="53" spans="1:11" x14ac:dyDescent="0.5">
      <c r="A53" s="228">
        <f t="shared" si="4"/>
        <v>4901.669937763475</v>
      </c>
      <c r="B53" s="228">
        <f ca="1">PROBLEMA!$F$84/(E53/IF(Tipo_Seccion_Ale=$J$17,12^0.5,4))</f>
        <v>202.53164556962025</v>
      </c>
      <c r="C53" s="229">
        <f t="shared" ca="1" si="5"/>
        <v>5.83</v>
      </c>
      <c r="D53" s="230">
        <f t="shared" ca="1" si="6"/>
        <v>840.76671316697684</v>
      </c>
      <c r="E53" s="231">
        <f t="shared" si="10"/>
        <v>79</v>
      </c>
      <c r="G53" s="232">
        <f t="shared" ca="1" si="7"/>
        <v>12271.846303085129</v>
      </c>
      <c r="H53" s="158">
        <f ca="1">PROBLEMA!$E$105/G53*K53</f>
        <v>138.85074486074907</v>
      </c>
      <c r="I53" s="158">
        <f t="shared" ca="1" si="8"/>
        <v>125</v>
      </c>
      <c r="J53" s="233">
        <f ca="1">PROBLEMA!$F$102/(I53/IF(Tipo_Seccion_Ale=$J$17,12^0.5,4))</f>
        <v>128</v>
      </c>
      <c r="K53" s="234">
        <f t="shared" ca="1" si="9"/>
        <v>2.75</v>
      </c>
    </row>
    <row r="54" spans="1:11" x14ac:dyDescent="0.5">
      <c r="A54" s="228">
        <f t="shared" si="4"/>
        <v>5026.5482457436692</v>
      </c>
      <c r="B54" s="228">
        <f ca="1">PROBLEMA!$F$84/(E54/IF(Tipo_Seccion_Ale=$J$17,12^0.5,4))</f>
        <v>200</v>
      </c>
      <c r="C54" s="229">
        <f t="shared" ca="1" si="5"/>
        <v>5.68</v>
      </c>
      <c r="D54" s="230">
        <f t="shared" ca="1" si="6"/>
        <v>884.95567706754741</v>
      </c>
      <c r="E54" s="231">
        <f t="shared" si="10"/>
        <v>80</v>
      </c>
      <c r="G54" s="232">
        <f t="shared" ca="1" si="7"/>
        <v>12468.981242097889</v>
      </c>
      <c r="H54" s="158">
        <f ca="1">PROBLEMA!$E$105/G54*K54</f>
        <v>135.16472334643112</v>
      </c>
      <c r="I54" s="158">
        <f t="shared" ca="1" si="8"/>
        <v>126</v>
      </c>
      <c r="J54" s="233">
        <f ca="1">PROBLEMA!$F$102/(I54/IF(Tipo_Seccion_Ale=$J$17,12^0.5,4))</f>
        <v>126.98412698412699</v>
      </c>
      <c r="K54" s="234">
        <f t="shared" ca="1" si="9"/>
        <v>2.72</v>
      </c>
    </row>
    <row r="55" spans="1:11" x14ac:dyDescent="0.5">
      <c r="A55" s="228">
        <f t="shared" si="4"/>
        <v>5152.9973500506585</v>
      </c>
      <c r="B55" s="228">
        <f ca="1">PROBLEMA!$F$84/(E55/IF(Tipo_Seccion_Ale=$J$17,12^0.5,4))</f>
        <v>197.53086419753086</v>
      </c>
      <c r="C55" s="229">
        <f t="shared" ca="1" si="5"/>
        <v>5.58</v>
      </c>
      <c r="D55" s="230">
        <f t="shared" ca="1" si="6"/>
        <v>923.47622760764489</v>
      </c>
      <c r="E55" s="231">
        <f t="shared" si="10"/>
        <v>81</v>
      </c>
      <c r="G55" s="232">
        <f t="shared" ca="1" si="7"/>
        <v>12667.686977437443</v>
      </c>
      <c r="H55" s="158">
        <f ca="1">PROBLEMA!$E$105/G55*K55</f>
        <v>131.57712240353874</v>
      </c>
      <c r="I55" s="158">
        <f t="shared" ca="1" si="8"/>
        <v>127</v>
      </c>
      <c r="J55" s="233">
        <f ca="1">PROBLEMA!$F$102/(I55/IF(Tipo_Seccion_Ale=$J$17,12^0.5,4))</f>
        <v>125.98425196850394</v>
      </c>
      <c r="K55" s="234">
        <f t="shared" ca="1" si="9"/>
        <v>2.69</v>
      </c>
    </row>
    <row r="56" spans="1:11" x14ac:dyDescent="0.5">
      <c r="A56" s="228">
        <f t="shared" si="4"/>
        <v>5281.0172506844419</v>
      </c>
      <c r="B56" s="228">
        <f ca="1">PROBLEMA!$F$84/(E56/IF(Tipo_Seccion_Ale=$J$17,12^0.5,4))</f>
        <v>195.1219512195122</v>
      </c>
      <c r="C56" s="229">
        <f t="shared" ca="1" si="5"/>
        <v>5.49</v>
      </c>
      <c r="D56" s="230">
        <f t="shared" ca="1" si="6"/>
        <v>961.93392544343203</v>
      </c>
      <c r="E56" s="231">
        <f t="shared" si="10"/>
        <v>82</v>
      </c>
      <c r="G56" s="232">
        <f t="shared" ca="1" si="7"/>
        <v>12867.963509103793</v>
      </c>
      <c r="H56" s="158">
        <f ca="1">PROBLEMA!$E$105/G56*K56</f>
        <v>128.08469645052566</v>
      </c>
      <c r="I56" s="158">
        <f t="shared" ca="1" si="8"/>
        <v>128</v>
      </c>
      <c r="J56" s="233">
        <f ca="1">PROBLEMA!$F$102/(I56/IF(Tipo_Seccion_Ale=$J$17,12^0.5,4))</f>
        <v>125</v>
      </c>
      <c r="K56" s="234">
        <f t="shared" ca="1" si="9"/>
        <v>2.66</v>
      </c>
    </row>
    <row r="57" spans="1:11" x14ac:dyDescent="0.5">
      <c r="A57" s="228">
        <f t="shared" si="4"/>
        <v>5410.6079476450213</v>
      </c>
      <c r="B57" s="228">
        <f ca="1">PROBLEMA!$F$84/(E57/IF(Tipo_Seccion_Ale=$J$17,12^0.5,4))</f>
        <v>192.77108433734941</v>
      </c>
      <c r="C57" s="229">
        <f t="shared" ca="1" si="5"/>
        <v>5.34</v>
      </c>
      <c r="D57" s="230">
        <f t="shared" ca="1" si="6"/>
        <v>1013.2224621058093</v>
      </c>
      <c r="E57" s="231">
        <f t="shared" si="10"/>
        <v>83</v>
      </c>
      <c r="G57" s="232">
        <f t="shared" ca="1" si="7"/>
        <v>13069.810837096937</v>
      </c>
      <c r="H57" s="158">
        <f ca="1">PROBLEMA!$E$105/G57*K57</f>
        <v>126.10658413829772</v>
      </c>
      <c r="I57" s="158">
        <f t="shared" ca="1" si="8"/>
        <v>129</v>
      </c>
      <c r="J57" s="233">
        <f ca="1">PROBLEMA!$F$102/(I57/IF(Tipo_Seccion_Ale=$J$17,12^0.5,4))</f>
        <v>124.03100775193798</v>
      </c>
      <c r="K57" s="234">
        <f t="shared" ca="1" si="9"/>
        <v>2.66</v>
      </c>
    </row>
    <row r="58" spans="1:11" x14ac:dyDescent="0.5">
      <c r="A58" s="228">
        <f t="shared" si="4"/>
        <v>5541.7694409323949</v>
      </c>
      <c r="B58" s="228">
        <f ca="1">PROBLEMA!$F$84/(E58/IF(Tipo_Seccion_Ale=$J$17,12^0.5,4))</f>
        <v>190.47619047619048</v>
      </c>
      <c r="C58" s="229">
        <f t="shared" ca="1" si="5"/>
        <v>5.25</v>
      </c>
      <c r="D58" s="230">
        <f t="shared" ca="1" si="6"/>
        <v>1055.5751316061705</v>
      </c>
      <c r="E58" s="231">
        <f t="shared" si="10"/>
        <v>84</v>
      </c>
      <c r="G58" s="232">
        <f t="shared" ca="1" si="7"/>
        <v>13273.228961416877</v>
      </c>
      <c r="H58" s="158">
        <f ca="1">PROBLEMA!$E$105/G58*K58</f>
        <v>122.77348674817442</v>
      </c>
      <c r="I58" s="158">
        <f t="shared" ca="1" si="8"/>
        <v>130</v>
      </c>
      <c r="J58" s="233">
        <f ca="1">PROBLEMA!$F$102/(I58/IF(Tipo_Seccion_Ale=$J$17,12^0.5,4))</f>
        <v>123.07692307692308</v>
      </c>
      <c r="K58" s="234">
        <f t="shared" ca="1" si="9"/>
        <v>2.63</v>
      </c>
    </row>
    <row r="59" spans="1:11" x14ac:dyDescent="0.5">
      <c r="A59" s="228">
        <f t="shared" si="4"/>
        <v>5674.5017305465635</v>
      </c>
      <c r="B59" s="228">
        <f ca="1">PROBLEMA!$F$84/(E59/IF(Tipo_Seccion_Ale=$J$17,12^0.5,4))</f>
        <v>188.23529411764707</v>
      </c>
      <c r="C59" s="229">
        <f t="shared" ca="1" si="5"/>
        <v>5.15</v>
      </c>
      <c r="D59" s="230">
        <f t="shared" ca="1" si="6"/>
        <v>1101.8449962226337</v>
      </c>
      <c r="E59" s="231">
        <f t="shared" si="10"/>
        <v>85</v>
      </c>
      <c r="G59" s="232">
        <f t="shared" ca="1" si="7"/>
        <v>13478.217882063609</v>
      </c>
      <c r="H59" s="158">
        <f ca="1">PROBLEMA!$E$105/G59*K59</f>
        <v>119.527077993292</v>
      </c>
      <c r="I59" s="158">
        <f t="shared" ca="1" si="8"/>
        <v>131</v>
      </c>
      <c r="J59" s="233">
        <f ca="1">PROBLEMA!$F$102/(I59/IF(Tipo_Seccion_Ale=$J$17,12^0.5,4))</f>
        <v>122.13740458015268</v>
      </c>
      <c r="K59" s="234">
        <f t="shared" ca="1" si="9"/>
        <v>2.6</v>
      </c>
    </row>
    <row r="60" spans="1:11" x14ac:dyDescent="0.5">
      <c r="A60" s="228">
        <f t="shared" si="4"/>
        <v>5808.8048164875272</v>
      </c>
      <c r="B60" s="228">
        <f ca="1">PROBLEMA!$F$84/(E60/IF(Tipo_Seccion_Ale=$J$17,12^0.5,4))</f>
        <v>186.04651162790697</v>
      </c>
      <c r="C60" s="229">
        <f t="shared" ca="1" si="5"/>
        <v>5.0599999999999996</v>
      </c>
      <c r="D60" s="230">
        <f t="shared" ca="1" si="6"/>
        <v>1147.9851415983255</v>
      </c>
      <c r="E60" s="231">
        <f t="shared" si="10"/>
        <v>86</v>
      </c>
      <c r="G60" s="232">
        <f t="shared" ca="1" si="7"/>
        <v>13684.777599037139</v>
      </c>
      <c r="H60" s="158">
        <f ca="1">PROBLEMA!$E$105/G60*K60</f>
        <v>116.3645801676779</v>
      </c>
      <c r="I60" s="158">
        <f t="shared" ca="1" si="8"/>
        <v>132</v>
      </c>
      <c r="J60" s="233">
        <f ca="1">PROBLEMA!$F$102/(I60/IF(Tipo_Seccion_Ale=$J$17,12^0.5,4))</f>
        <v>121.21212121212122</v>
      </c>
      <c r="K60" s="234">
        <f t="shared" ca="1" si="9"/>
        <v>2.57</v>
      </c>
    </row>
    <row r="61" spans="1:11" x14ac:dyDescent="0.5">
      <c r="A61" s="228">
        <f t="shared" si="4"/>
        <v>5944.678698755286</v>
      </c>
      <c r="B61" s="228">
        <f ca="1">PROBLEMA!$F$84/(E61/IF(Tipo_Seccion_Ale=$J$17,12^0.5,4))</f>
        <v>183.90804597701148</v>
      </c>
      <c r="C61" s="229">
        <f t="shared" ca="1" si="5"/>
        <v>4.92</v>
      </c>
      <c r="D61" s="230">
        <f t="shared" ca="1" si="6"/>
        <v>1208.2680282022939</v>
      </c>
      <c r="E61" s="231">
        <f t="shared" si="10"/>
        <v>87</v>
      </c>
      <c r="G61" s="232">
        <f t="shared" ca="1" si="7"/>
        <v>13892.908112337462</v>
      </c>
      <c r="H61" s="158">
        <f ca="1">PROBLEMA!$E$105/G61*K61</f>
        <v>113.28332320879393</v>
      </c>
      <c r="I61" s="158">
        <f t="shared" ca="1" si="8"/>
        <v>133</v>
      </c>
      <c r="J61" s="233">
        <f ca="1">PROBLEMA!$F$102/(I61/IF(Tipo_Seccion_Ale=$J$17,12^0.5,4))</f>
        <v>120.30075187969925</v>
      </c>
      <c r="K61" s="234">
        <f t="shared" ca="1" si="9"/>
        <v>2.54</v>
      </c>
    </row>
    <row r="62" spans="1:11" x14ac:dyDescent="0.5">
      <c r="A62" s="228">
        <f t="shared" si="4"/>
        <v>6082.1233773498398</v>
      </c>
      <c r="B62" s="228">
        <f ca="1">PROBLEMA!$F$84/(E62/IF(Tipo_Seccion_Ale=$J$17,12^0.5,4))</f>
        <v>181.81818181818181</v>
      </c>
      <c r="C62" s="229">
        <f t="shared" ca="1" si="5"/>
        <v>4.83</v>
      </c>
      <c r="D62" s="230">
        <f t="shared" ca="1" si="6"/>
        <v>1259.2387944823683</v>
      </c>
      <c r="E62" s="231">
        <f t="shared" si="10"/>
        <v>88</v>
      </c>
      <c r="G62" s="232">
        <f t="shared" ca="1" si="7"/>
        <v>14102.609421964582</v>
      </c>
      <c r="H62" s="158">
        <f ca="1">PROBLEMA!$E$105/G62*K62</f>
        <v>110.28073978832097</v>
      </c>
      <c r="I62" s="158">
        <f t="shared" ca="1" si="8"/>
        <v>134</v>
      </c>
      <c r="J62" s="233">
        <f ca="1">PROBLEMA!$F$102/(I62/IF(Tipo_Seccion_Ale=$J$17,12^0.5,4))</f>
        <v>119.40298507462687</v>
      </c>
      <c r="K62" s="234">
        <f t="shared" ca="1" si="9"/>
        <v>2.5099999999999998</v>
      </c>
    </row>
    <row r="63" spans="1:11" x14ac:dyDescent="0.5">
      <c r="A63" s="228">
        <f t="shared" si="4"/>
        <v>6221.1388522711877</v>
      </c>
      <c r="B63" s="228">
        <f ca="1">PROBLEMA!$F$84/(E63/IF(Tipo_Seccion_Ale=$J$17,12^0.5,4))</f>
        <v>179.77528089887642</v>
      </c>
      <c r="C63" s="229">
        <f t="shared" ca="1" si="5"/>
        <v>4.74</v>
      </c>
      <c r="D63" s="230">
        <f t="shared" ca="1" si="6"/>
        <v>1312.476551112065</v>
      </c>
      <c r="E63" s="231">
        <f t="shared" si="10"/>
        <v>89</v>
      </c>
      <c r="G63" s="232">
        <f t="shared" ca="1" si="7"/>
        <v>14313.881527918495</v>
      </c>
      <c r="H63" s="158">
        <f ca="1">PROBLEMA!$E$105/G63*K63</f>
        <v>107.35436066051182</v>
      </c>
      <c r="I63" s="158">
        <f t="shared" ca="1" si="8"/>
        <v>135</v>
      </c>
      <c r="J63" s="233">
        <f ca="1">PROBLEMA!$F$102/(I63/IF(Tipo_Seccion_Ale=$J$17,12^0.5,4))</f>
        <v>118.51851851851852</v>
      </c>
      <c r="K63" s="234">
        <f t="shared" ca="1" si="9"/>
        <v>2.48</v>
      </c>
    </row>
    <row r="64" spans="1:11" x14ac:dyDescent="0.5">
      <c r="A64" s="228">
        <f t="shared" si="4"/>
        <v>6361.7251235193307</v>
      </c>
      <c r="B64" s="228">
        <f ca="1">PROBLEMA!$F$84/(E64/IF(Tipo_Seccion_Ale=$J$17,12^0.5,4))</f>
        <v>177.77777777777777</v>
      </c>
      <c r="C64" s="229">
        <f t="shared" ca="1" si="5"/>
        <v>4.6500000000000004</v>
      </c>
      <c r="D64" s="230">
        <f t="shared" ca="1" si="6"/>
        <v>1368.1129297891032</v>
      </c>
      <c r="E64" s="231">
        <f t="shared" si="10"/>
        <v>90</v>
      </c>
      <c r="G64" s="232">
        <f t="shared" ca="1" si="7"/>
        <v>14526.724430199203</v>
      </c>
      <c r="H64" s="158">
        <f ca="1">PROBLEMA!$E$105/G64*K64</f>
        <v>104.50181025284191</v>
      </c>
      <c r="I64" s="158">
        <f t="shared" ca="1" si="8"/>
        <v>136</v>
      </c>
      <c r="J64" s="233">
        <f ca="1">PROBLEMA!$F$102/(I64/IF(Tipo_Seccion_Ale=$J$17,12^0.5,4))</f>
        <v>117.64705882352941</v>
      </c>
      <c r="K64" s="234">
        <f t="shared" ca="1" si="9"/>
        <v>2.4500000000000002</v>
      </c>
    </row>
    <row r="65" spans="1:11" x14ac:dyDescent="0.5">
      <c r="A65" s="228">
        <f t="shared" si="4"/>
        <v>6503.8821910942688</v>
      </c>
      <c r="B65" s="228">
        <f ca="1">PROBLEMA!$F$84/(E65/IF(Tipo_Seccion_Ale=$J$17,12^0.5,4))</f>
        <v>175.82417582417582</v>
      </c>
      <c r="C65" s="229">
        <f t="shared" ca="1" si="5"/>
        <v>4.5599999999999996</v>
      </c>
      <c r="D65" s="230">
        <f t="shared" ca="1" si="6"/>
        <v>1426.2899541873398</v>
      </c>
      <c r="E65" s="231">
        <f t="shared" si="10"/>
        <v>91</v>
      </c>
      <c r="G65" s="232">
        <f t="shared" ca="1" si="7"/>
        <v>14741.138128806706</v>
      </c>
      <c r="H65" s="158">
        <f ca="1">PROBLEMA!$E$105/G65*K65</f>
        <v>101.72080248469815</v>
      </c>
      <c r="I65" s="158">
        <f t="shared" ca="1" si="8"/>
        <v>137</v>
      </c>
      <c r="J65" s="233">
        <f ca="1">PROBLEMA!$F$102/(I65/IF(Tipo_Seccion_Ale=$J$17,12^0.5,4))</f>
        <v>116.78832116788321</v>
      </c>
      <c r="K65" s="234">
        <f t="shared" ca="1" si="9"/>
        <v>2.42</v>
      </c>
    </row>
    <row r="66" spans="1:11" x14ac:dyDescent="0.5">
      <c r="A66" s="228">
        <f t="shared" si="4"/>
        <v>6647.610054996002</v>
      </c>
      <c r="B66" s="228">
        <f ca="1">PROBLEMA!$F$84/(E66/IF(Tipo_Seccion_Ale=$J$17,12^0.5,4))</f>
        <v>173.91304347826087</v>
      </c>
      <c r="C66" s="229">
        <f t="shared" ca="1" si="5"/>
        <v>4.4800000000000004</v>
      </c>
      <c r="D66" s="230">
        <f t="shared" ca="1" si="6"/>
        <v>1483.841530133036</v>
      </c>
      <c r="E66" s="231">
        <f t="shared" si="10"/>
        <v>92</v>
      </c>
      <c r="G66" s="232">
        <f t="shared" ca="1" si="7"/>
        <v>14957.122623741005</v>
      </c>
      <c r="H66" s="158">
        <f ca="1">PROBLEMA!$E$105/G66*K66</f>
        <v>99.423400971493578</v>
      </c>
      <c r="I66" s="158">
        <f t="shared" ca="1" si="8"/>
        <v>138</v>
      </c>
      <c r="J66" s="233">
        <f ca="1">PROBLEMA!$F$102/(I66/IF(Tipo_Seccion_Ale=$J$17,12^0.5,4))</f>
        <v>115.94202898550725</v>
      </c>
      <c r="K66" s="234">
        <f t="shared" ca="1" si="9"/>
        <v>2.4</v>
      </c>
    </row>
    <row r="67" spans="1:11" x14ac:dyDescent="0.5">
      <c r="A67" s="228">
        <f t="shared" si="4"/>
        <v>6792.9087152245302</v>
      </c>
      <c r="B67" s="228">
        <f ca="1">PROBLEMA!$F$84/(E67/IF(Tipo_Seccion_Ale=$J$17,12^0.5,4))</f>
        <v>172.04301075268816</v>
      </c>
      <c r="C67" s="229">
        <f t="shared" ca="1" si="5"/>
        <v>4.43</v>
      </c>
      <c r="D67" s="230">
        <f t="shared" ca="1" si="6"/>
        <v>1533.3879718339799</v>
      </c>
      <c r="E67" s="231">
        <f t="shared" si="10"/>
        <v>93</v>
      </c>
      <c r="G67" s="232">
        <f t="shared" ca="1" si="7"/>
        <v>15174.677915002098</v>
      </c>
      <c r="H67" s="158">
        <f ca="1">PROBLEMA!$E$105/G67*K67</f>
        <v>97.997994311946769</v>
      </c>
      <c r="I67" s="158">
        <f t="shared" ca="1" si="8"/>
        <v>139</v>
      </c>
      <c r="J67" s="233">
        <f ca="1">PROBLEMA!$F$102/(I67/IF(Tipo_Seccion_Ale=$J$17,12^0.5,4))</f>
        <v>115.10791366906474</v>
      </c>
      <c r="K67" s="234">
        <f t="shared" ca="1" si="9"/>
        <v>2.4</v>
      </c>
    </row>
    <row r="68" spans="1:11" x14ac:dyDescent="0.5">
      <c r="A68" s="228">
        <f t="shared" si="4"/>
        <v>6939.7781717798534</v>
      </c>
      <c r="B68" s="228">
        <f ca="1">PROBLEMA!$F$84/(E68/IF(Tipo_Seccion_Ale=$J$17,12^0.5,4))</f>
        <v>170.21276595744681</v>
      </c>
      <c r="C68" s="229">
        <f t="shared" ca="1" si="5"/>
        <v>4.3499999999999996</v>
      </c>
      <c r="D68" s="230">
        <f t="shared" ca="1" si="6"/>
        <v>1595.3513038574376</v>
      </c>
      <c r="E68" s="231">
        <f t="shared" si="10"/>
        <v>94</v>
      </c>
      <c r="G68" s="232">
        <f t="shared" ca="1" si="7"/>
        <v>15393.804002589986</v>
      </c>
      <c r="H68" s="158">
        <f ca="1">PROBLEMA!$E$105/G68*K68</f>
        <v>95.395485076523457</v>
      </c>
      <c r="I68" s="158">
        <f t="shared" ca="1" si="8"/>
        <v>140</v>
      </c>
      <c r="J68" s="233">
        <f ca="1">PROBLEMA!$F$102/(I68/IF(Tipo_Seccion_Ale=$J$17,12^0.5,4))</f>
        <v>114.28571428571429</v>
      </c>
      <c r="K68" s="234">
        <f t="shared" ca="1" si="9"/>
        <v>2.37</v>
      </c>
    </row>
    <row r="69" spans="1:11" x14ac:dyDescent="0.5">
      <c r="A69" s="228">
        <f t="shared" si="4"/>
        <v>7088.2184246619709</v>
      </c>
      <c r="B69" s="228">
        <f ca="1">PROBLEMA!$F$84/(E69/IF(Tipo_Seccion_Ale=$J$17,12^0.5,4))</f>
        <v>168.42105263157896</v>
      </c>
      <c r="C69" s="229">
        <f t="shared" ca="1" si="5"/>
        <v>4.26</v>
      </c>
      <c r="D69" s="230">
        <f t="shared" ca="1" si="6"/>
        <v>1663.9010386530449</v>
      </c>
      <c r="E69" s="231">
        <f t="shared" si="10"/>
        <v>95</v>
      </c>
      <c r="G69" s="232">
        <f t="shared" ca="1" si="7"/>
        <v>15614.500886504669</v>
      </c>
      <c r="H69" s="158">
        <f ca="1">PROBLEMA!$E$105/G69*K69</f>
        <v>92.856685624394927</v>
      </c>
      <c r="I69" s="158">
        <f t="shared" ca="1" si="8"/>
        <v>141</v>
      </c>
      <c r="J69" s="233">
        <f ca="1">PROBLEMA!$F$102/(I69/IF(Tipo_Seccion_Ale=$J$17,12^0.5,4))</f>
        <v>113.47517730496453</v>
      </c>
      <c r="K69" s="234">
        <f t="shared" ca="1" si="9"/>
        <v>2.34</v>
      </c>
    </row>
    <row r="70" spans="1:11" x14ac:dyDescent="0.5">
      <c r="A70" s="228">
        <f t="shared" si="4"/>
        <v>7238.2294738708833</v>
      </c>
      <c r="B70" s="228">
        <f ca="1">PROBLEMA!$F$84/(E70/IF(Tipo_Seccion_Ale=$J$17,12^0.5,4))</f>
        <v>166.66666666666666</v>
      </c>
      <c r="C70" s="229">
        <f t="shared" ca="1" si="5"/>
        <v>4.18</v>
      </c>
      <c r="D70" s="230">
        <f t="shared" ca="1" si="6"/>
        <v>1731.6338454236563</v>
      </c>
      <c r="E70" s="231">
        <f t="shared" si="10"/>
        <v>96</v>
      </c>
      <c r="G70" s="232">
        <f t="shared" ca="1" si="7"/>
        <v>15836.768566746146</v>
      </c>
      <c r="H70" s="158">
        <f ca="1">PROBLEMA!$E$105/G70*K70</f>
        <v>90.379687874297332</v>
      </c>
      <c r="I70" s="158">
        <f t="shared" ca="1" si="8"/>
        <v>142</v>
      </c>
      <c r="J70" s="233">
        <f ca="1">PROBLEMA!$F$102/(I70/IF(Tipo_Seccion_Ale=$J$17,12^0.5,4))</f>
        <v>112.67605633802818</v>
      </c>
      <c r="K70" s="234">
        <f t="shared" ca="1" si="9"/>
        <v>2.31</v>
      </c>
    </row>
    <row r="71" spans="1:11" x14ac:dyDescent="0.5">
      <c r="A71" s="228">
        <f t="shared" si="4"/>
        <v>7389.8113194065909</v>
      </c>
      <c r="B71" s="228">
        <f ca="1">PROBLEMA!$F$84/(E71/IF(Tipo_Seccion_Ale=$J$17,12^0.5,4))</f>
        <v>164.94845360824743</v>
      </c>
      <c r="C71" s="229">
        <f t="shared" ca="1" si="5"/>
        <v>4.0999999999999996</v>
      </c>
      <c r="D71" s="230">
        <f t="shared" ca="1" si="6"/>
        <v>1802.3930047333149</v>
      </c>
      <c r="E71" s="231">
        <f t="shared" si="10"/>
        <v>97</v>
      </c>
      <c r="G71" s="232">
        <f t="shared" ca="1" si="7"/>
        <v>16060.60704331442</v>
      </c>
      <c r="H71" s="158">
        <f ca="1">PROBLEMA!$E$105/G71*K71</f>
        <v>88.348453839461854</v>
      </c>
      <c r="I71" s="158">
        <f t="shared" ca="1" si="8"/>
        <v>143</v>
      </c>
      <c r="J71" s="233">
        <f ca="1">PROBLEMA!$F$102/(I71/IF(Tipo_Seccion_Ale=$J$17,12^0.5,4))</f>
        <v>111.88811188811189</v>
      </c>
      <c r="K71" s="234">
        <f t="shared" ca="1" si="9"/>
        <v>2.29</v>
      </c>
    </row>
    <row r="72" spans="1:11" x14ac:dyDescent="0.5">
      <c r="A72" s="228">
        <f t="shared" si="4"/>
        <v>7542.9639612690935</v>
      </c>
      <c r="B72" s="228">
        <f ca="1">PROBLEMA!$F$84/(E72/IF(Tipo_Seccion_Ale=$J$17,12^0.5,4))</f>
        <v>163.26530612244898</v>
      </c>
      <c r="C72" s="229">
        <f t="shared" ca="1" si="5"/>
        <v>4.0599999999999996</v>
      </c>
      <c r="D72" s="230">
        <f t="shared" ca="1" si="6"/>
        <v>1857.8728968643088</v>
      </c>
      <c r="E72" s="231">
        <f t="shared" si="10"/>
        <v>98</v>
      </c>
      <c r="G72" s="232">
        <f t="shared" ca="1" si="7"/>
        <v>16286.016316209487</v>
      </c>
      <c r="H72" s="158">
        <f ca="1">PROBLEMA!$E$105/G72*K72</f>
        <v>87.125652612034884</v>
      </c>
      <c r="I72" s="158">
        <f t="shared" ca="1" si="8"/>
        <v>144</v>
      </c>
      <c r="J72" s="233">
        <f ca="1">PROBLEMA!$F$102/(I72/IF(Tipo_Seccion_Ale=$J$17,12^0.5,4))</f>
        <v>111.11111111111111</v>
      </c>
      <c r="K72" s="234">
        <f t="shared" ca="1" si="9"/>
        <v>2.29</v>
      </c>
    </row>
    <row r="73" spans="1:11" x14ac:dyDescent="0.5">
      <c r="A73" s="228">
        <f t="shared" si="4"/>
        <v>7697.6873994583902</v>
      </c>
      <c r="B73" s="228">
        <f ca="1">PROBLEMA!$F$84/(E73/IF(Tipo_Seccion_Ale=$J$17,12^0.5,4))</f>
        <v>161.61616161616161</v>
      </c>
      <c r="C73" s="229">
        <f t="shared" ca="1" si="5"/>
        <v>3.97</v>
      </c>
      <c r="D73" s="230">
        <f t="shared" ca="1" si="6"/>
        <v>1938.9640804681082</v>
      </c>
      <c r="E73" s="231">
        <f t="shared" si="10"/>
        <v>99</v>
      </c>
      <c r="G73" s="232">
        <f t="shared" ca="1" si="7"/>
        <v>16512.99638543135</v>
      </c>
      <c r="H73" s="158">
        <f ca="1">PROBLEMA!$E$105/G73*K73</f>
        <v>84.80236822648709</v>
      </c>
      <c r="I73" s="158">
        <f t="shared" ca="1" si="8"/>
        <v>145</v>
      </c>
      <c r="J73" s="233">
        <f ca="1">PROBLEMA!$F$102/(I73/IF(Tipo_Seccion_Ale=$J$17,12^0.5,4))</f>
        <v>110.34482758620689</v>
      </c>
      <c r="K73" s="234">
        <f t="shared" ca="1" si="9"/>
        <v>2.2599999999999998</v>
      </c>
    </row>
    <row r="74" spans="1:11" x14ac:dyDescent="0.5">
      <c r="A74" s="228">
        <f t="shared" si="4"/>
        <v>7853.981633974483</v>
      </c>
      <c r="B74" s="228">
        <f ca="1">PROBLEMA!$F$84/(E74/IF(Tipo_Seccion_Ale=$J$17,12^0.5,4))</f>
        <v>160</v>
      </c>
      <c r="C74" s="229">
        <f t="shared" ca="1" si="5"/>
        <v>3.89</v>
      </c>
      <c r="D74" s="230">
        <f t="shared" ca="1" si="6"/>
        <v>2019.018414903466</v>
      </c>
      <c r="E74" s="231">
        <f t="shared" si="10"/>
        <v>100</v>
      </c>
      <c r="G74" s="232">
        <f t="shared" ca="1" si="7"/>
        <v>16741.547250980009</v>
      </c>
      <c r="H74" s="158">
        <f ca="1">PROBLEMA!$E$105/G74*K74</f>
        <v>82.534342811063397</v>
      </c>
      <c r="I74" s="158">
        <f t="shared" ca="1" si="8"/>
        <v>146</v>
      </c>
      <c r="J74" s="233">
        <f ca="1">PROBLEMA!$F$102/(I74/IF(Tipo_Seccion_Ale=$J$17,12^0.5,4))</f>
        <v>109.58904109589041</v>
      </c>
      <c r="K74" s="234">
        <f t="shared" ca="1" si="9"/>
        <v>2.23</v>
      </c>
    </row>
    <row r="75" spans="1:11" x14ac:dyDescent="0.5">
      <c r="A75" s="228">
        <f t="shared" si="4"/>
        <v>8011.8466648173699</v>
      </c>
      <c r="B75" s="228">
        <f ca="1">PROBLEMA!$F$84/(E75/IF(Tipo_Seccion_Ale=$J$17,12^0.5,4))</f>
        <v>158.41584158415841</v>
      </c>
      <c r="C75" s="229">
        <f t="shared" ca="1" si="5"/>
        <v>3.85</v>
      </c>
      <c r="D75" s="230">
        <f t="shared" ca="1" si="6"/>
        <v>2080.9991337187971</v>
      </c>
      <c r="E75" s="231">
        <f t="shared" si="10"/>
        <v>101</v>
      </c>
      <c r="G75" s="232">
        <f t="shared" ca="1" si="7"/>
        <v>16971.668912855461</v>
      </c>
      <c r="H75" s="158">
        <f ca="1">PROBLEMA!$E$105/G75*K75</f>
        <v>80.685064446594069</v>
      </c>
      <c r="I75" s="158">
        <f t="shared" ca="1" si="8"/>
        <v>147</v>
      </c>
      <c r="J75" s="233">
        <f ca="1">PROBLEMA!$F$102/(I75/IF(Tipo_Seccion_Ale=$J$17,12^0.5,4))</f>
        <v>108.84353741496598</v>
      </c>
      <c r="K75" s="234">
        <f t="shared" ca="1" si="9"/>
        <v>2.21</v>
      </c>
    </row>
    <row r="76" spans="1:11" x14ac:dyDescent="0.5">
      <c r="A76" s="228">
        <f t="shared" si="4"/>
        <v>8171.2824919870518</v>
      </c>
      <c r="B76" s="228">
        <f ca="1">PROBLEMA!$F$84/(E76/IF(Tipo_Seccion_Ale=$J$17,12^0.5,4))</f>
        <v>156.86274509803923</v>
      </c>
      <c r="C76" s="229">
        <f t="shared" ca="1" si="5"/>
        <v>3.78</v>
      </c>
      <c r="D76" s="230">
        <f t="shared" ca="1" si="6"/>
        <v>2161.7149449701196</v>
      </c>
      <c r="E76" s="231">
        <f t="shared" si="10"/>
        <v>102</v>
      </c>
      <c r="G76" s="232">
        <f t="shared" ca="1" si="7"/>
        <v>17203.361371057708</v>
      </c>
      <c r="H76" s="158">
        <f ca="1">PROBLEMA!$E$105/G76*K76</f>
        <v>79.598409314575022</v>
      </c>
      <c r="I76" s="158">
        <f t="shared" ca="1" si="8"/>
        <v>148</v>
      </c>
      <c r="J76" s="233">
        <f ca="1">PROBLEMA!$F$102/(I76/IF(Tipo_Seccion_Ale=$J$17,12^0.5,4))</f>
        <v>108.10810810810811</v>
      </c>
      <c r="K76" s="234">
        <f t="shared" ca="1" si="9"/>
        <v>2.21</v>
      </c>
    </row>
    <row r="77" spans="1:11" x14ac:dyDescent="0.5">
      <c r="A77" s="228">
        <f t="shared" si="4"/>
        <v>8332.2891154835288</v>
      </c>
      <c r="B77" s="228">
        <f ca="1">PROBLEMA!$F$84/(E77/IF(Tipo_Seccion_Ale=$J$17,12^0.5,4))</f>
        <v>155.33980582524271</v>
      </c>
      <c r="C77" s="229">
        <f t="shared" ca="1" si="5"/>
        <v>3.74</v>
      </c>
      <c r="D77" s="230">
        <f t="shared" ca="1" si="6"/>
        <v>2227.8847902362377</v>
      </c>
      <c r="E77" s="231">
        <f t="shared" si="10"/>
        <v>103</v>
      </c>
      <c r="G77" s="232">
        <f t="shared" ca="1" si="7"/>
        <v>17436.624625586748</v>
      </c>
      <c r="H77" s="158">
        <f ca="1">PROBLEMA!$E$105/G77*K77</f>
        <v>77.467493222160599</v>
      </c>
      <c r="I77" s="158">
        <f t="shared" ca="1" si="8"/>
        <v>149</v>
      </c>
      <c r="J77" s="233">
        <f ca="1">PROBLEMA!$F$102/(I77/IF(Tipo_Seccion_Ale=$J$17,12^0.5,4))</f>
        <v>107.38255033557047</v>
      </c>
      <c r="K77" s="234">
        <f t="shared" ca="1" si="9"/>
        <v>2.1800000000000002</v>
      </c>
    </row>
    <row r="78" spans="1:11" x14ac:dyDescent="0.5">
      <c r="A78" s="228">
        <f t="shared" si="4"/>
        <v>8494.8665353068009</v>
      </c>
      <c r="B78" s="228">
        <f ca="1">PROBLEMA!$F$84/(E78/IF(Tipo_Seccion_Ale=$J$17,12^0.5,4))</f>
        <v>153.84615384615384</v>
      </c>
      <c r="C78" s="229">
        <f t="shared" ca="1" si="5"/>
        <v>3.66</v>
      </c>
      <c r="D78" s="230">
        <f t="shared" ca="1" si="6"/>
        <v>2321.0017856029508</v>
      </c>
      <c r="E78" s="231">
        <f t="shared" si="10"/>
        <v>104</v>
      </c>
      <c r="G78" s="232">
        <f t="shared" ca="1" si="7"/>
        <v>17671.458676442588</v>
      </c>
      <c r="H78" s="158">
        <f ca="1">PROBLEMA!$E$105/G78*K78</f>
        <v>75.736769924044935</v>
      </c>
      <c r="I78" s="158">
        <f t="shared" ca="1" si="8"/>
        <v>150</v>
      </c>
      <c r="J78" s="233">
        <f ca="1">PROBLEMA!$F$102/(I78/IF(Tipo_Seccion_Ale=$J$17,12^0.5,4))</f>
        <v>106.66666666666667</v>
      </c>
      <c r="K78" s="234">
        <f t="shared" ca="1" si="9"/>
        <v>2.16</v>
      </c>
    </row>
    <row r="79" spans="1:11" x14ac:dyDescent="0.5">
      <c r="A79" s="228">
        <f t="shared" si="4"/>
        <v>8659.0147514568671</v>
      </c>
      <c r="B79" s="228">
        <f ca="1">PROBLEMA!$F$84/(E79/IF(Tipo_Seccion_Ale=$J$17,12^0.5,4))</f>
        <v>152.38095238095238</v>
      </c>
      <c r="C79" s="229">
        <f t="shared" ca="1" si="5"/>
        <v>3.62</v>
      </c>
      <c r="D79" s="230">
        <f t="shared" ca="1" si="6"/>
        <v>2391.993025264328</v>
      </c>
      <c r="E79" s="231">
        <f t="shared" si="10"/>
        <v>105</v>
      </c>
      <c r="G79" s="232">
        <f t="shared" ca="1" si="7"/>
        <v>17907.863523625219</v>
      </c>
      <c r="H79" s="158">
        <f ca="1">PROBLEMA!$E$105/G79*K79</f>
        <v>73.698942269626201</v>
      </c>
      <c r="I79" s="158">
        <f t="shared" ca="1" si="8"/>
        <v>151</v>
      </c>
      <c r="J79" s="233">
        <f ca="1">PROBLEMA!$F$102/(I79/IF(Tipo_Seccion_Ale=$J$17,12^0.5,4))</f>
        <v>105.96026490066225</v>
      </c>
      <c r="K79" s="234">
        <f t="shared" ca="1" si="9"/>
        <v>2.13</v>
      </c>
    </row>
    <row r="80" spans="1:11" x14ac:dyDescent="0.5">
      <c r="A80" s="228">
        <f t="shared" si="4"/>
        <v>8824.7337639337293</v>
      </c>
      <c r="B80" s="228">
        <f ca="1">PROBLEMA!$F$84/(E80/IF(Tipo_Seccion_Ale=$J$17,12^0.5,4))</f>
        <v>150.9433962264151</v>
      </c>
      <c r="C80" s="229">
        <f t="shared" ca="1" si="5"/>
        <v>3.55</v>
      </c>
      <c r="D80" s="230">
        <f t="shared" ca="1" si="6"/>
        <v>2485.8404968827408</v>
      </c>
      <c r="E80" s="231">
        <f t="shared" si="10"/>
        <v>106</v>
      </c>
      <c r="G80" s="232">
        <f t="shared" ca="1" si="7"/>
        <v>18145.839167134644</v>
      </c>
      <c r="H80" s="158">
        <f ca="1">PROBLEMA!$E$105/G80*K80</f>
        <v>72.732409223067322</v>
      </c>
      <c r="I80" s="158">
        <f t="shared" ca="1" si="8"/>
        <v>152</v>
      </c>
      <c r="J80" s="233">
        <f ca="1">PROBLEMA!$F$102/(I80/IF(Tipo_Seccion_Ale=$J$17,12^0.5,4))</f>
        <v>105.26315789473684</v>
      </c>
      <c r="K80" s="234">
        <f t="shared" ca="1" si="9"/>
        <v>2.13</v>
      </c>
    </row>
    <row r="81" spans="1:11" x14ac:dyDescent="0.5">
      <c r="A81" s="228">
        <f t="shared" si="4"/>
        <v>8992.0235727373856</v>
      </c>
      <c r="B81" s="228">
        <f ca="1">PROBLEMA!$F$84/(E81/IF(Tipo_Seccion_Ale=$J$17,12^0.5,4))</f>
        <v>149.53271028037383</v>
      </c>
      <c r="C81" s="229">
        <f t="shared" ca="1" si="5"/>
        <v>3.51</v>
      </c>
      <c r="D81" s="230">
        <f t="shared" ca="1" si="6"/>
        <v>2561.830077702959</v>
      </c>
      <c r="E81" s="231">
        <f t="shared" si="10"/>
        <v>107</v>
      </c>
      <c r="G81" s="232">
        <f t="shared" ca="1" si="7"/>
        <v>18385.385606970867</v>
      </c>
      <c r="H81" s="158">
        <f ca="1">PROBLEMA!$E$105/G81*K81</f>
        <v>71.110730443657189</v>
      </c>
      <c r="I81" s="158">
        <f t="shared" ca="1" si="8"/>
        <v>153</v>
      </c>
      <c r="J81" s="233">
        <f ca="1">PROBLEMA!$F$102/(I81/IF(Tipo_Seccion_Ale=$J$17,12^0.5,4))</f>
        <v>104.57516339869281</v>
      </c>
      <c r="K81" s="234">
        <f t="shared" ca="1" si="9"/>
        <v>2.11</v>
      </c>
    </row>
    <row r="82" spans="1:11" x14ac:dyDescent="0.5">
      <c r="A82" s="228">
        <f t="shared" si="4"/>
        <v>9160.8841778678361</v>
      </c>
      <c r="B82" s="228">
        <f ca="1">PROBLEMA!$F$84/(E82/IF(Tipo_Seccion_Ale=$J$17,12^0.5,4))</f>
        <v>148.14814814814815</v>
      </c>
      <c r="C82" s="229">
        <f t="shared" ca="1" si="5"/>
        <v>3.47</v>
      </c>
      <c r="D82" s="230">
        <f t="shared" ca="1" si="6"/>
        <v>2640.0242587515377</v>
      </c>
      <c r="E82" s="231">
        <f t="shared" si="10"/>
        <v>108</v>
      </c>
      <c r="G82" s="232">
        <f t="shared" ca="1" si="7"/>
        <v>18626.502843133883</v>
      </c>
      <c r="H82" s="158">
        <f ca="1">PROBLEMA!$E$105/G82*K82</f>
        <v>69.192247780161381</v>
      </c>
      <c r="I82" s="158">
        <f t="shared" ca="1" si="8"/>
        <v>154</v>
      </c>
      <c r="J82" s="233">
        <f ca="1">PROBLEMA!$F$102/(I82/IF(Tipo_Seccion_Ale=$J$17,12^0.5,4))</f>
        <v>103.8961038961039</v>
      </c>
      <c r="K82" s="234">
        <f t="shared" ca="1" si="9"/>
        <v>2.08</v>
      </c>
    </row>
    <row r="83" spans="1:11" x14ac:dyDescent="0.5">
      <c r="A83" s="228">
        <f t="shared" si="4"/>
        <v>9331.3155793250826</v>
      </c>
      <c r="B83" s="228">
        <f ca="1">PROBLEMA!$F$84/(E83/IF(Tipo_Seccion_Ale=$J$17,12^0.5,4))</f>
        <v>146.78899082568807</v>
      </c>
      <c r="C83" s="229">
        <f t="shared" ca="1" si="5"/>
        <v>3.4</v>
      </c>
      <c r="D83" s="230">
        <f t="shared" ca="1" si="6"/>
        <v>2744.5045821544363</v>
      </c>
      <c r="E83" s="231">
        <f t="shared" si="10"/>
        <v>109</v>
      </c>
      <c r="G83" s="235">
        <f t="shared" ca="1" si="7"/>
        <v>18869.190875623695</v>
      </c>
      <c r="H83" s="158">
        <f ca="1">PROBLEMA!$E$105/G83*K83</f>
        <v>68.30232459331144</v>
      </c>
      <c r="I83" s="158">
        <f t="shared" ca="1" si="8"/>
        <v>155</v>
      </c>
      <c r="J83" s="236">
        <f ca="1">PROBLEMA!$F$102/(I83/IF(Tipo_Seccion_Ale=$J$17,12^0.5,4))</f>
        <v>103.2258064516129</v>
      </c>
      <c r="K83" s="237">
        <f t="shared" ca="1" si="9"/>
        <v>2.08</v>
      </c>
    </row>
    <row r="84" spans="1:11" x14ac:dyDescent="0.5">
      <c r="A84" s="228">
        <f t="shared" si="4"/>
        <v>9503.317777109125</v>
      </c>
      <c r="B84" s="228">
        <f ca="1">PROBLEMA!$F$84/(E84/IF(Tipo_Seccion_Ale=$J$17,12^0.5,4))</f>
        <v>145.45454545454547</v>
      </c>
      <c r="C84" s="229">
        <f t="shared" ca="1" si="5"/>
        <v>3.36</v>
      </c>
      <c r="D84" s="230">
        <f t="shared" ca="1" si="6"/>
        <v>2828.3683860443825</v>
      </c>
      <c r="E84" s="231">
        <f t="shared" si="10"/>
        <v>110</v>
      </c>
      <c r="G84" s="232">
        <f t="shared" ca="1" si="7"/>
        <v>19113.4497044403</v>
      </c>
      <c r="H84" s="158">
        <f ca="1">PROBLEMA!$E$105/G84*K84</f>
        <v>66.781100206284165</v>
      </c>
      <c r="I84" s="158">
        <f t="shared" ca="1" si="8"/>
        <v>156</v>
      </c>
      <c r="J84" s="233">
        <f ca="1">PROBLEMA!$F$102/(I84/IF(Tipo_Seccion_Ale=$J$17,12^0.5,4))</f>
        <v>102.56410256410257</v>
      </c>
      <c r="K84" s="234">
        <f t="shared" ca="1" si="9"/>
        <v>2.06</v>
      </c>
    </row>
    <row r="85" spans="1:11" x14ac:dyDescent="0.5">
      <c r="A85" s="228">
        <f t="shared" si="4"/>
        <v>9676.8907712199598</v>
      </c>
      <c r="B85" s="228">
        <f ca="1">PROBLEMA!$F$84/(E85/IF(Tipo_Seccion_Ale=$J$17,12^0.5,4))</f>
        <v>144.14414414414415</v>
      </c>
      <c r="C85" s="229">
        <f t="shared" ca="1" si="5"/>
        <v>3.33</v>
      </c>
      <c r="D85" s="230">
        <f t="shared" ca="1" si="6"/>
        <v>2905.9732045705582</v>
      </c>
      <c r="E85" s="231">
        <f t="shared" si="10"/>
        <v>111</v>
      </c>
      <c r="G85" s="232">
        <f t="shared" ca="1" si="7"/>
        <v>19359.279329583704</v>
      </c>
      <c r="H85" s="158">
        <f ca="1">PROBLEMA!$E$105/G85*K85</f>
        <v>64.972904134807379</v>
      </c>
      <c r="I85" s="158">
        <f t="shared" ca="1" si="8"/>
        <v>157</v>
      </c>
      <c r="J85" s="233">
        <f ca="1">PROBLEMA!$F$102/(I85/IF(Tipo_Seccion_Ale=$J$17,12^0.5,4))</f>
        <v>101.91082802547771</v>
      </c>
      <c r="K85" s="234">
        <f t="shared" ca="1" si="9"/>
        <v>2.0299999999999998</v>
      </c>
    </row>
    <row r="86" spans="1:11" x14ac:dyDescent="0.5">
      <c r="A86" s="228">
        <f t="shared" si="4"/>
        <v>9852.0345616575905</v>
      </c>
      <c r="B86" s="228">
        <f ca="1">PROBLEMA!$F$84/(E86/IF(Tipo_Seccion_Ale=$J$17,12^0.5,4))</f>
        <v>142.85714285714286</v>
      </c>
      <c r="C86" s="229">
        <f t="shared" ca="1" si="5"/>
        <v>3.25</v>
      </c>
      <c r="D86" s="230">
        <f t="shared" ca="1" si="6"/>
        <v>3031.3952497407972</v>
      </c>
      <c r="E86" s="231">
        <f t="shared" si="10"/>
        <v>112</v>
      </c>
      <c r="G86" s="232">
        <f t="shared" ca="1" si="7"/>
        <v>19606.6797510539</v>
      </c>
      <c r="H86" s="158">
        <f ca="1">PROBLEMA!$E$105/G86*K86</f>
        <v>64.153064974317687</v>
      </c>
      <c r="I86" s="158">
        <f t="shared" ca="1" si="8"/>
        <v>158</v>
      </c>
      <c r="J86" s="233">
        <f ca="1">PROBLEMA!$F$102/(I86/IF(Tipo_Seccion_Ale=$J$17,12^0.5,4))</f>
        <v>101.26582278481013</v>
      </c>
      <c r="K86" s="234">
        <f t="shared" ca="1" si="9"/>
        <v>2.0299999999999998</v>
      </c>
    </row>
    <row r="87" spans="1:11" x14ac:dyDescent="0.5">
      <c r="A87" s="228">
        <f t="shared" si="4"/>
        <v>10028.749148422017</v>
      </c>
      <c r="B87" s="228">
        <f ca="1">PROBLEMA!$F$84/(E87/IF(Tipo_Seccion_Ale=$J$17,12^0.5,4))</f>
        <v>141.59292035398229</v>
      </c>
      <c r="C87" s="229">
        <f t="shared" ca="1" si="5"/>
        <v>3.22</v>
      </c>
      <c r="D87" s="230">
        <f t="shared" ca="1" si="6"/>
        <v>3114.5183690751605</v>
      </c>
      <c r="E87" s="231">
        <f t="shared" si="10"/>
        <v>113</v>
      </c>
      <c r="G87" s="232">
        <f t="shared" ca="1" si="7"/>
        <v>19855.650968850889</v>
      </c>
      <c r="H87" s="158">
        <f ca="1">PROBLEMA!$E$105/G87*K87</f>
        <v>62.724521193176336</v>
      </c>
      <c r="I87" s="158">
        <f t="shared" ca="1" si="8"/>
        <v>159</v>
      </c>
      <c r="J87" s="233">
        <f ca="1">PROBLEMA!$F$102/(I87/IF(Tipo_Seccion_Ale=$J$17,12^0.5,4))</f>
        <v>100.62893081761007</v>
      </c>
      <c r="K87" s="234">
        <f t="shared" ca="1" si="9"/>
        <v>2.0099999999999998</v>
      </c>
    </row>
    <row r="88" spans="1:11" x14ac:dyDescent="0.5">
      <c r="A88" s="228">
        <f t="shared" si="4"/>
        <v>10207.034531513238</v>
      </c>
      <c r="B88" s="228">
        <f ca="1">PROBLEMA!$F$84/(E88/IF(Tipo_Seccion_Ale=$J$17,12^0.5,4))</f>
        <v>140.35087719298247</v>
      </c>
      <c r="C88" s="229">
        <f t="shared" ca="1" si="5"/>
        <v>3.18</v>
      </c>
      <c r="D88" s="230">
        <f t="shared" ca="1" si="6"/>
        <v>3209.7592866393829</v>
      </c>
      <c r="E88" s="231">
        <f t="shared" si="10"/>
        <v>114</v>
      </c>
      <c r="G88" s="232">
        <f t="shared" ca="1" si="7"/>
        <v>20106.192982974677</v>
      </c>
      <c r="H88" s="158">
        <f ca="1">PROBLEMA!$E$105/G88*K88</f>
        <v>61.326567443379496</v>
      </c>
      <c r="I88" s="158">
        <f t="shared" ca="1" si="8"/>
        <v>160</v>
      </c>
      <c r="J88" s="233">
        <f ca="1">PROBLEMA!$F$102/(I88/IF(Tipo_Seccion_Ale=$J$17,12^0.5,4))</f>
        <v>100</v>
      </c>
      <c r="K88" s="234">
        <f t="shared" ca="1" si="9"/>
        <v>1.99</v>
      </c>
    </row>
    <row r="89" spans="1:11" x14ac:dyDescent="0.5">
      <c r="A89" s="228">
        <f t="shared" si="4"/>
        <v>10386.890710931253</v>
      </c>
      <c r="B89" s="228">
        <f ca="1">PROBLEMA!$F$84/(E89/IF(Tipo_Seccion_Ale=$J$17,12^0.5,4))</f>
        <v>139.13043478260869</v>
      </c>
      <c r="C89" s="229">
        <f t="shared" ca="1" si="5"/>
        <v>3.15</v>
      </c>
      <c r="D89" s="230">
        <f t="shared" ca="1" si="6"/>
        <v>3297.4256225178583</v>
      </c>
      <c r="E89" s="231">
        <f t="shared" si="10"/>
        <v>115</v>
      </c>
      <c r="G89" s="232">
        <f t="shared" ca="1" si="7"/>
        <v>20358.305793425257</v>
      </c>
      <c r="H89" s="158">
        <f ca="1">PROBLEMA!$E$105/G89*K89</f>
        <v>60.567112632634348</v>
      </c>
      <c r="I89" s="158">
        <f t="shared" ca="1" si="8"/>
        <v>161</v>
      </c>
      <c r="J89" s="233">
        <f ca="1">PROBLEMA!$F$102/(I89/IF(Tipo_Seccion_Ale=$J$17,12^0.5,4))</f>
        <v>99.378881987577643</v>
      </c>
      <c r="K89" s="234">
        <f t="shared" ca="1" si="9"/>
        <v>1.99</v>
      </c>
    </row>
    <row r="90" spans="1:11" x14ac:dyDescent="0.5">
      <c r="A90" s="228">
        <f t="shared" si="4"/>
        <v>10568.317686676064</v>
      </c>
      <c r="B90" s="228">
        <f ca="1">PROBLEMA!$F$84/(E90/IF(Tipo_Seccion_Ale=$J$17,12^0.5,4))</f>
        <v>137.93103448275863</v>
      </c>
      <c r="C90" s="229">
        <f t="shared" ca="1" si="5"/>
        <v>3.08</v>
      </c>
      <c r="D90" s="230">
        <f t="shared" ca="1" si="6"/>
        <v>3431.2719761935273</v>
      </c>
      <c r="E90" s="231">
        <f t="shared" si="10"/>
        <v>116</v>
      </c>
      <c r="G90" s="232">
        <f t="shared" ca="1" si="7"/>
        <v>20611.989400202634</v>
      </c>
      <c r="H90" s="158">
        <f ca="1">PROBLEMA!$E$105/G90*K90</f>
        <v>58.919844000504909</v>
      </c>
      <c r="I90" s="158">
        <f t="shared" ca="1" si="8"/>
        <v>162</v>
      </c>
      <c r="J90" s="233">
        <f ca="1">PROBLEMA!$F$102/(I90/IF(Tipo_Seccion_Ale=$J$17,12^0.5,4))</f>
        <v>98.76543209876543</v>
      </c>
      <c r="K90" s="234">
        <f t="shared" ca="1" si="9"/>
        <v>1.96</v>
      </c>
    </row>
    <row r="91" spans="1:11" x14ac:dyDescent="0.5">
      <c r="A91" s="228">
        <f t="shared" si="4"/>
        <v>10751.315458747669</v>
      </c>
      <c r="B91" s="228">
        <f ca="1">PROBLEMA!$F$84/(E91/IF(Tipo_Seccion_Ale=$J$17,12^0.5,4))</f>
        <v>136.75213675213675</v>
      </c>
      <c r="C91" s="229">
        <f t="shared" ca="1" si="5"/>
        <v>3.05</v>
      </c>
      <c r="D91" s="230">
        <f t="shared" ca="1" si="6"/>
        <v>3525.0214618844821</v>
      </c>
      <c r="E91" s="231">
        <f t="shared" si="10"/>
        <v>117</v>
      </c>
      <c r="G91" s="232">
        <f t="shared" ca="1" si="7"/>
        <v>20867.243803306803</v>
      </c>
      <c r="H91" s="158">
        <f ca="1">PROBLEMA!$E$105/G91*K91</f>
        <v>58.199118745502311</v>
      </c>
      <c r="I91" s="158">
        <f t="shared" ca="1" si="8"/>
        <v>163</v>
      </c>
      <c r="J91" s="233">
        <f ca="1">PROBLEMA!$F$102/(I91/IF(Tipo_Seccion_Ale=$J$17,12^0.5,4))</f>
        <v>98.159509202453989</v>
      </c>
      <c r="K91" s="234">
        <f t="shared" ca="1" si="9"/>
        <v>1.96</v>
      </c>
    </row>
    <row r="92" spans="1:11" x14ac:dyDescent="0.5">
      <c r="A92" s="228">
        <f t="shared" si="4"/>
        <v>10935.88402714607</v>
      </c>
      <c r="B92" s="228">
        <f ca="1">PROBLEMA!$F$84/(E92/IF(Tipo_Seccion_Ale=$J$17,12^0.5,4))</f>
        <v>135.59322033898306</v>
      </c>
      <c r="C92" s="229">
        <f t="shared" ca="1" si="5"/>
        <v>3.01</v>
      </c>
      <c r="D92" s="230">
        <f t="shared" ca="1" si="6"/>
        <v>3633.1840621747747</v>
      </c>
      <c r="E92" s="231">
        <f t="shared" si="10"/>
        <v>118</v>
      </c>
      <c r="G92" s="232">
        <f t="shared" ca="1" si="7"/>
        <v>21124.069002737768</v>
      </c>
      <c r="H92" s="158">
        <f ca="1">PROBLEMA!$E$105/G92*K92</f>
        <v>56.904888913409984</v>
      </c>
      <c r="I92" s="158">
        <f t="shared" ca="1" si="8"/>
        <v>164</v>
      </c>
      <c r="J92" s="233">
        <f ca="1">PROBLEMA!$F$102/(I92/IF(Tipo_Seccion_Ale=$J$17,12^0.5,4))</f>
        <v>97.560975609756099</v>
      </c>
      <c r="K92" s="234">
        <f t="shared" ca="1" si="9"/>
        <v>1.94</v>
      </c>
    </row>
    <row r="93" spans="1:11" x14ac:dyDescent="0.5">
      <c r="A93" s="228">
        <f t="shared" si="4"/>
        <v>11122.023391871266</v>
      </c>
      <c r="B93" s="228">
        <f ca="1">PROBLEMA!$F$84/(E93/IF(Tipo_Seccion_Ale=$J$17,12^0.5,4))</f>
        <v>134.45378151260505</v>
      </c>
      <c r="C93" s="229">
        <f t="shared" ca="1" si="5"/>
        <v>2.98</v>
      </c>
      <c r="D93" s="230">
        <f t="shared" ca="1" si="6"/>
        <v>3732.2226147219012</v>
      </c>
      <c r="E93" s="231">
        <f t="shared" si="10"/>
        <v>119</v>
      </c>
      <c r="G93" s="232">
        <f t="shared" ca="1" si="7"/>
        <v>21382.464998495529</v>
      </c>
      <c r="H93" s="158">
        <f ca="1">PROBLEMA!$E$105/G93*K93</f>
        <v>55.637663856047716</v>
      </c>
      <c r="I93" s="158">
        <f t="shared" ca="1" si="8"/>
        <v>165</v>
      </c>
      <c r="J93" s="233">
        <f ca="1">PROBLEMA!$F$102/(I93/IF(Tipo_Seccion_Ale=$J$17,12^0.5,4))</f>
        <v>96.969696969696969</v>
      </c>
      <c r="K93" s="234">
        <f t="shared" ca="1" si="9"/>
        <v>1.92</v>
      </c>
    </row>
    <row r="94" spans="1:11" x14ac:dyDescent="0.5">
      <c r="A94" s="228">
        <f t="shared" si="4"/>
        <v>11309.733552923255</v>
      </c>
      <c r="B94" s="228">
        <f ca="1">PROBLEMA!$F$84/(E94/IF(Tipo_Seccion_Ale=$J$17,12^0.5,4))</f>
        <v>133.33333333333334</v>
      </c>
      <c r="C94" s="229">
        <f t="shared" ca="1" si="5"/>
        <v>2.95</v>
      </c>
      <c r="D94" s="230">
        <f t="shared" ca="1" si="6"/>
        <v>3833.8079840417813</v>
      </c>
      <c r="E94" s="231">
        <f t="shared" si="10"/>
        <v>120</v>
      </c>
      <c r="G94" s="232">
        <f t="shared" ca="1" si="7"/>
        <v>21642.431790580085</v>
      </c>
      <c r="H94" s="158">
        <f ca="1">PROBLEMA!$E$105/G94*K94</f>
        <v>54.969349632780478</v>
      </c>
      <c r="I94" s="158">
        <f t="shared" ca="1" si="8"/>
        <v>166</v>
      </c>
      <c r="J94" s="233">
        <f ca="1">PROBLEMA!$F$102/(I94/IF(Tipo_Seccion_Ale=$J$17,12^0.5,4))</f>
        <v>96.385542168674704</v>
      </c>
      <c r="K94" s="234">
        <f t="shared" ca="1" si="9"/>
        <v>1.92</v>
      </c>
    </row>
    <row r="95" spans="1:11" x14ac:dyDescent="0.5">
      <c r="A95" s="228">
        <f t="shared" si="4"/>
        <v>11499.01451030204</v>
      </c>
      <c r="B95" s="228">
        <f ca="1">PROBLEMA!$F$84/(E95/IF(Tipo_Seccion_Ale=$J$17,12^0.5,4))</f>
        <v>132.23140495867767</v>
      </c>
      <c r="C95" s="229">
        <f t="shared" ca="1" si="5"/>
        <v>2.91</v>
      </c>
      <c r="D95" s="230">
        <f t="shared" ca="1" si="6"/>
        <v>3951.5513781106665</v>
      </c>
      <c r="E95" s="231">
        <f t="shared" si="10"/>
        <v>121</v>
      </c>
      <c r="G95" s="232">
        <f t="shared" ca="1" si="7"/>
        <v>21903.969378991434</v>
      </c>
      <c r="H95" s="158">
        <f ca="1">PROBLEMA!$E$105/G95*K95</f>
        <v>53.747244603489648</v>
      </c>
      <c r="I95" s="158">
        <f t="shared" ca="1" si="8"/>
        <v>167</v>
      </c>
      <c r="J95" s="233">
        <f ca="1">PROBLEMA!$F$102/(I95/IF(Tipo_Seccion_Ale=$J$17,12^0.5,4))</f>
        <v>95.808383233532936</v>
      </c>
      <c r="K95" s="234">
        <f t="shared" ca="1" si="9"/>
        <v>1.9</v>
      </c>
    </row>
    <row r="96" spans="1:11" x14ac:dyDescent="0.5">
      <c r="A96" s="228">
        <f t="shared" si="4"/>
        <v>11689.86626400762</v>
      </c>
      <c r="B96" s="228">
        <f ca="1">PROBLEMA!$F$84/(E96/IF(Tipo_Seccion_Ale=$J$17,12^0.5,4))</f>
        <v>131.14754098360655</v>
      </c>
      <c r="C96" s="229">
        <f t="shared" ca="1" si="5"/>
        <v>2.88</v>
      </c>
      <c r="D96" s="230">
        <f t="shared" ca="1" si="6"/>
        <v>4058.9813416693128</v>
      </c>
      <c r="E96" s="231">
        <f t="shared" si="10"/>
        <v>122</v>
      </c>
      <c r="G96" s="232">
        <f t="shared" ca="1" si="7"/>
        <v>22167.07776372958</v>
      </c>
      <c r="H96" s="158">
        <f ca="1">PROBLEMA!$E$105/G96*K96</f>
        <v>53.109300763418467</v>
      </c>
      <c r="I96" s="158">
        <f t="shared" ca="1" si="8"/>
        <v>168</v>
      </c>
      <c r="J96" s="233">
        <f ca="1">PROBLEMA!$F$102/(I96/IF(Tipo_Seccion_Ale=$J$17,12^0.5,4))</f>
        <v>95.238095238095241</v>
      </c>
      <c r="K96" s="234">
        <f t="shared" ca="1" si="9"/>
        <v>1.9</v>
      </c>
    </row>
    <row r="97" spans="1:11" x14ac:dyDescent="0.5">
      <c r="A97" s="228">
        <f t="shared" si="4"/>
        <v>11882.288814039995</v>
      </c>
      <c r="B97" s="228">
        <f ca="1">PROBLEMA!$F$84/(E97/IF(Tipo_Seccion_Ale=$J$17,12^0.5,4))</f>
        <v>130.08130081300814</v>
      </c>
      <c r="C97" s="229">
        <f t="shared" ca="1" si="5"/>
        <v>2.85</v>
      </c>
      <c r="D97" s="230">
        <f t="shared" ca="1" si="6"/>
        <v>4169.2241452771914</v>
      </c>
      <c r="E97" s="231">
        <f t="shared" si="10"/>
        <v>123</v>
      </c>
      <c r="G97" s="232">
        <f t="shared" ca="1" si="7"/>
        <v>22431.756944794521</v>
      </c>
      <c r="H97" s="158">
        <f ca="1">PROBLEMA!$E$105/G97*K97</f>
        <v>51.930198908040573</v>
      </c>
      <c r="I97" s="158">
        <f t="shared" ca="1" si="8"/>
        <v>169</v>
      </c>
      <c r="J97" s="233">
        <f ca="1">PROBLEMA!$F$102/(I97/IF(Tipo_Seccion_Ale=$J$17,12^0.5,4))</f>
        <v>94.674556213017752</v>
      </c>
      <c r="K97" s="234">
        <f t="shared" ca="1" si="9"/>
        <v>1.88</v>
      </c>
    </row>
    <row r="98" spans="1:11" x14ac:dyDescent="0.5">
      <c r="A98" s="228">
        <f t="shared" si="4"/>
        <v>12076.282160399165</v>
      </c>
      <c r="B98" s="228">
        <f ca="1">PROBLEMA!$F$84/(E98/IF(Tipo_Seccion_Ale=$J$17,12^0.5,4))</f>
        <v>129.03225806451613</v>
      </c>
      <c r="C98" s="229">
        <f t="shared" ca="1" si="5"/>
        <v>2.82</v>
      </c>
      <c r="D98" s="230">
        <f t="shared" ca="1" si="6"/>
        <v>4282.3695604252362</v>
      </c>
      <c r="E98" s="231">
        <f t="shared" si="10"/>
        <v>124</v>
      </c>
      <c r="G98" s="232">
        <f t="shared" ca="1" si="7"/>
        <v>22698.006922186254</v>
      </c>
      <c r="H98" s="158">
        <f ca="1">PROBLEMA!$E$105/G98*K98</f>
        <v>51.321052284171174</v>
      </c>
      <c r="I98" s="158">
        <f t="shared" ca="1" si="8"/>
        <v>170</v>
      </c>
      <c r="J98" s="233">
        <f ca="1">PROBLEMA!$F$102/(I98/IF(Tipo_Seccion_Ale=$J$17,12^0.5,4))</f>
        <v>94.117647058823536</v>
      </c>
      <c r="K98" s="234">
        <f t="shared" ca="1" si="9"/>
        <v>1.88</v>
      </c>
    </row>
    <row r="99" spans="1:11" x14ac:dyDescent="0.5">
      <c r="A99" s="228">
        <f t="shared" si="4"/>
        <v>12271.846303085129</v>
      </c>
      <c r="B99" s="228">
        <f ca="1">PROBLEMA!$F$84/(E99/IF(Tipo_Seccion_Ale=$J$17,12^0.5,4))</f>
        <v>128</v>
      </c>
      <c r="C99" s="229">
        <f t="shared" ca="1" si="5"/>
        <v>2.75</v>
      </c>
      <c r="D99" s="230">
        <f t="shared" ca="1" si="6"/>
        <v>4462.4895647582289</v>
      </c>
      <c r="E99" s="231">
        <f t="shared" si="10"/>
        <v>125</v>
      </c>
      <c r="G99" s="232">
        <f t="shared" ca="1" si="7"/>
        <v>22965.827695904783</v>
      </c>
      <c r="H99" s="158">
        <f ca="1">PROBLEMA!$E$105/G99*K99</f>
        <v>49.913158592773264</v>
      </c>
      <c r="I99" s="158">
        <f t="shared" ca="1" si="8"/>
        <v>171</v>
      </c>
      <c r="J99" s="233">
        <f ca="1">PROBLEMA!$F$102/(I99/IF(Tipo_Seccion_Ale=$J$17,12^0.5,4))</f>
        <v>93.567251461988306</v>
      </c>
      <c r="K99" s="234">
        <f t="shared" ca="1" si="9"/>
        <v>1.85</v>
      </c>
    </row>
    <row r="100" spans="1:11" x14ac:dyDescent="0.5">
      <c r="A100" s="228">
        <f t="shared" si="4"/>
        <v>12468.981242097889</v>
      </c>
      <c r="B100" s="228">
        <f ca="1">PROBLEMA!$F$84/(E100/IF(Tipo_Seccion_Ale=$J$17,12^0.5,4))</f>
        <v>126.98412698412699</v>
      </c>
      <c r="C100" s="229">
        <f t="shared" ca="1" si="5"/>
        <v>2.72</v>
      </c>
      <c r="D100" s="230">
        <f t="shared" ca="1" si="6"/>
        <v>4584.1842801830471</v>
      </c>
      <c r="E100" s="231">
        <f t="shared" si="10"/>
        <v>126</v>
      </c>
      <c r="G100" s="232">
        <f t="shared" ca="1" si="7"/>
        <v>23235.219265950109</v>
      </c>
      <c r="H100" s="158">
        <f ca="1">PROBLEMA!$E$105/G100*K100</f>
        <v>49.334460195081228</v>
      </c>
      <c r="I100" s="158">
        <f t="shared" ca="1" si="8"/>
        <v>172</v>
      </c>
      <c r="J100" s="233">
        <f ca="1">PROBLEMA!$F$102/(I100/IF(Tipo_Seccion_Ale=$J$17,12^0.5,4))</f>
        <v>93.023255813953483</v>
      </c>
      <c r="K100" s="234">
        <f t="shared" ca="1" si="9"/>
        <v>1.85</v>
      </c>
    </row>
    <row r="101" spans="1:11" x14ac:dyDescent="0.5">
      <c r="A101" s="228">
        <f t="shared" si="4"/>
        <v>12667.686977437443</v>
      </c>
      <c r="B101" s="228">
        <f ca="1">PROBLEMA!$F$84/(E101/IF(Tipo_Seccion_Ale=$J$17,12^0.5,4))</f>
        <v>125.98425196850394</v>
      </c>
      <c r="C101" s="229">
        <f t="shared" ca="1" si="5"/>
        <v>2.69</v>
      </c>
      <c r="D101" s="230">
        <f t="shared" ca="1" si="6"/>
        <v>4709.1773150325071</v>
      </c>
      <c r="E101" s="231">
        <f t="shared" si="10"/>
        <v>127</v>
      </c>
      <c r="G101" s="232">
        <f t="shared" ca="1" si="7"/>
        <v>23506.18163232223</v>
      </c>
      <c r="H101" s="158">
        <f ca="1">PROBLEMA!$E$105/G101*K101</f>
        <v>48.238570506101333</v>
      </c>
      <c r="I101" s="158">
        <f t="shared" ca="1" si="8"/>
        <v>173</v>
      </c>
      <c r="J101" s="233">
        <f ca="1">PROBLEMA!$F$102/(I101/IF(Tipo_Seccion_Ale=$J$17,12^0.5,4))</f>
        <v>92.48554913294798</v>
      </c>
      <c r="K101" s="234">
        <f t="shared" ca="1" si="9"/>
        <v>1.83</v>
      </c>
    </row>
    <row r="102" spans="1:11" x14ac:dyDescent="0.5">
      <c r="A102" s="228">
        <f t="shared" ref="A102:A165" si="11">E102^2*IF(Tipo_Seccion_Ale=$J$17,1,PI()/4)</f>
        <v>12867.963509103793</v>
      </c>
      <c r="B102" s="228">
        <f ca="1">PROBLEMA!$F$84/(E102/IF(Tipo_Seccion_Ale=$J$17,12^0.5,4))</f>
        <v>125</v>
      </c>
      <c r="C102" s="229">
        <f t="shared" ref="C102:C165" ca="1" si="12">IFERROR(VLOOKUP(ROUNDUP(B102,0),Coef_w,Tipo_Ale+1),1)</f>
        <v>2.66</v>
      </c>
      <c r="D102" s="230">
        <f t="shared" ref="D102:D165" ca="1" si="13">A102/C102</f>
        <v>4837.5802665803731</v>
      </c>
      <c r="E102" s="231">
        <f t="shared" si="10"/>
        <v>128</v>
      </c>
      <c r="G102" s="232">
        <f t="shared" ref="G102:G165" ca="1" si="14">I102^2*IF(Tipo_Seccion_Ale=$J$17,1,PI()/4)</f>
        <v>23778.714795021144</v>
      </c>
      <c r="H102" s="158">
        <f ca="1">PROBLEMA!$E$105/G102*K102</f>
        <v>47.16454230885622</v>
      </c>
      <c r="I102" s="158">
        <f t="shared" ref="I102:I165" ca="1" si="15">$I$36+ROW()-36</f>
        <v>174</v>
      </c>
      <c r="J102" s="233">
        <f ca="1">PROBLEMA!$F$102/(I102/IF(Tipo_Seccion_Ale=$J$17,12^0.5,4))</f>
        <v>91.954022988505741</v>
      </c>
      <c r="K102" s="234">
        <f t="shared" ref="K102:K165" ca="1" si="16">IFERROR(VLOOKUP(ROUNDUP(J102,0),Coef_w,Tipo_Ale+1),1)</f>
        <v>1.81</v>
      </c>
    </row>
    <row r="103" spans="1:11" x14ac:dyDescent="0.5">
      <c r="A103" s="228">
        <f t="shared" si="11"/>
        <v>13069.810837096937</v>
      </c>
      <c r="B103" s="228">
        <f ca="1">PROBLEMA!$F$84/(E103/IF(Tipo_Seccion_Ale=$J$17,12^0.5,4))</f>
        <v>124.03100775193798</v>
      </c>
      <c r="C103" s="229">
        <f t="shared" ca="1" si="12"/>
        <v>2.66</v>
      </c>
      <c r="D103" s="230">
        <f t="shared" ca="1" si="13"/>
        <v>4913.4627207131334</v>
      </c>
      <c r="E103" s="231">
        <f t="shared" ref="E103:E166" si="17">E102+1</f>
        <v>129</v>
      </c>
      <c r="G103" s="232">
        <f t="shared" ca="1" si="14"/>
        <v>24052.818754046853</v>
      </c>
      <c r="H103" s="158">
        <f ca="1">PROBLEMA!$E$105/G103*K103</f>
        <v>46.627059034871209</v>
      </c>
      <c r="I103" s="158">
        <f t="shared" ca="1" si="15"/>
        <v>175</v>
      </c>
      <c r="J103" s="233">
        <f ca="1">PROBLEMA!$F$102/(I103/IF(Tipo_Seccion_Ale=$J$17,12^0.5,4))</f>
        <v>91.428571428571431</v>
      </c>
      <c r="K103" s="234">
        <f t="shared" ca="1" si="16"/>
        <v>1.81</v>
      </c>
    </row>
    <row r="104" spans="1:11" x14ac:dyDescent="0.5">
      <c r="A104" s="228">
        <f t="shared" si="11"/>
        <v>13273.228961416877</v>
      </c>
      <c r="B104" s="228">
        <f ca="1">PROBLEMA!$F$84/(E104/IF(Tipo_Seccion_Ale=$J$17,12^0.5,4))</f>
        <v>123.07692307692308</v>
      </c>
      <c r="C104" s="229">
        <f t="shared" ca="1" si="12"/>
        <v>2.63</v>
      </c>
      <c r="D104" s="230">
        <f t="shared" ca="1" si="13"/>
        <v>5046.8551184094595</v>
      </c>
      <c r="E104" s="231">
        <f t="shared" si="17"/>
        <v>130</v>
      </c>
      <c r="G104" s="232">
        <f t="shared" ca="1" si="14"/>
        <v>24328.493509399359</v>
      </c>
      <c r="H104" s="158">
        <f ca="1">PROBLEMA!$E$105/G104*K104</f>
        <v>45.589333329311557</v>
      </c>
      <c r="I104" s="158">
        <f t="shared" ca="1" si="15"/>
        <v>176</v>
      </c>
      <c r="J104" s="233">
        <f ca="1">PROBLEMA!$F$102/(I104/IF(Tipo_Seccion_Ale=$J$17,12^0.5,4))</f>
        <v>90.909090909090907</v>
      </c>
      <c r="K104" s="234">
        <f t="shared" ca="1" si="16"/>
        <v>1.79</v>
      </c>
    </row>
    <row r="105" spans="1:11" x14ac:dyDescent="0.5">
      <c r="A105" s="228">
        <f t="shared" si="11"/>
        <v>13478.217882063609</v>
      </c>
      <c r="B105" s="228">
        <f ca="1">PROBLEMA!$F$84/(E105/IF(Tipo_Seccion_Ale=$J$17,12^0.5,4))</f>
        <v>122.13740458015268</v>
      </c>
      <c r="C105" s="229">
        <f t="shared" ca="1" si="12"/>
        <v>2.6</v>
      </c>
      <c r="D105" s="230">
        <f t="shared" ca="1" si="13"/>
        <v>5183.9299546398497</v>
      </c>
      <c r="E105" s="231">
        <f t="shared" si="17"/>
        <v>131</v>
      </c>
      <c r="G105" s="232">
        <f t="shared" ca="1" si="14"/>
        <v>24605.739061078657</v>
      </c>
      <c r="H105" s="158">
        <f ca="1">PROBLEMA!$E$105/G105*K105</f>
        <v>45.075654799347404</v>
      </c>
      <c r="I105" s="158">
        <f t="shared" ca="1" si="15"/>
        <v>177</v>
      </c>
      <c r="J105" s="233">
        <f ca="1">PROBLEMA!$F$102/(I105/IF(Tipo_Seccion_Ale=$J$17,12^0.5,4))</f>
        <v>90.395480225988706</v>
      </c>
      <c r="K105" s="234">
        <f t="shared" ca="1" si="16"/>
        <v>1.79</v>
      </c>
    </row>
    <row r="106" spans="1:11" x14ac:dyDescent="0.5">
      <c r="A106" s="228">
        <f t="shared" si="11"/>
        <v>13684.777599037139</v>
      </c>
      <c r="B106" s="228">
        <f ca="1">PROBLEMA!$F$84/(E106/IF(Tipo_Seccion_Ale=$J$17,12^0.5,4))</f>
        <v>121.21212121212122</v>
      </c>
      <c r="C106" s="229">
        <f t="shared" ca="1" si="12"/>
        <v>2.57</v>
      </c>
      <c r="D106" s="230">
        <f t="shared" ca="1" si="13"/>
        <v>5324.8161863957739</v>
      </c>
      <c r="E106" s="231">
        <f t="shared" si="17"/>
        <v>132</v>
      </c>
      <c r="G106" s="232">
        <f t="shared" ca="1" si="14"/>
        <v>24884.555409084751</v>
      </c>
      <c r="H106" s="158">
        <f ca="1">PROBLEMA!$E$105/G106*K106</f>
        <v>44.072613794804276</v>
      </c>
      <c r="I106" s="158">
        <f t="shared" ca="1" si="15"/>
        <v>178</v>
      </c>
      <c r="J106" s="233">
        <f ca="1">PROBLEMA!$F$102/(I106/IF(Tipo_Seccion_Ale=$J$17,12^0.5,4))</f>
        <v>89.887640449438209</v>
      </c>
      <c r="K106" s="234">
        <f t="shared" ca="1" si="16"/>
        <v>1.77</v>
      </c>
    </row>
    <row r="107" spans="1:11" x14ac:dyDescent="0.5">
      <c r="A107" s="228">
        <f t="shared" si="11"/>
        <v>13892.908112337462</v>
      </c>
      <c r="B107" s="228">
        <f ca="1">PROBLEMA!$F$84/(E107/IF(Tipo_Seccion_Ale=$J$17,12^0.5,4))</f>
        <v>120.30075187969925</v>
      </c>
      <c r="C107" s="229">
        <f t="shared" ca="1" si="12"/>
        <v>2.54</v>
      </c>
      <c r="D107" s="230">
        <f t="shared" ca="1" si="13"/>
        <v>5469.6488631249849</v>
      </c>
      <c r="E107" s="231">
        <f t="shared" si="17"/>
        <v>133</v>
      </c>
      <c r="G107" s="232">
        <f t="shared" ca="1" si="14"/>
        <v>25164.942553417641</v>
      </c>
      <c r="H107" s="158">
        <f ca="1">PROBLEMA!$E$105/G107*K107</f>
        <v>43.581557862569163</v>
      </c>
      <c r="I107" s="158">
        <f t="shared" ca="1" si="15"/>
        <v>179</v>
      </c>
      <c r="J107" s="233">
        <f ca="1">PROBLEMA!$F$102/(I107/IF(Tipo_Seccion_Ale=$J$17,12^0.5,4))</f>
        <v>89.385474860335194</v>
      </c>
      <c r="K107" s="234">
        <f t="shared" ca="1" si="16"/>
        <v>1.77</v>
      </c>
    </row>
    <row r="108" spans="1:11" x14ac:dyDescent="0.5">
      <c r="A108" s="228">
        <f t="shared" si="11"/>
        <v>14102.609421964582</v>
      </c>
      <c r="B108" s="228">
        <f ca="1">PROBLEMA!$F$84/(E108/IF(Tipo_Seccion_Ale=$J$17,12^0.5,4))</f>
        <v>119.40298507462687</v>
      </c>
      <c r="C108" s="229">
        <f t="shared" ca="1" si="12"/>
        <v>2.5099999999999998</v>
      </c>
      <c r="D108" s="230">
        <f t="shared" ca="1" si="13"/>
        <v>5618.5694908225432</v>
      </c>
      <c r="E108" s="231">
        <f t="shared" si="17"/>
        <v>134</v>
      </c>
      <c r="G108" s="232">
        <f t="shared" ca="1" si="14"/>
        <v>25446.900494077323</v>
      </c>
      <c r="H108" s="158">
        <f ca="1">PROBLEMA!$E$105/G108*K108</f>
        <v>42.611672893222313</v>
      </c>
      <c r="I108" s="158">
        <f t="shared" ca="1" si="15"/>
        <v>180</v>
      </c>
      <c r="J108" s="233">
        <f ca="1">PROBLEMA!$F$102/(I108/IF(Tipo_Seccion_Ale=$J$17,12^0.5,4))</f>
        <v>88.888888888888886</v>
      </c>
      <c r="K108" s="234">
        <f t="shared" ca="1" si="16"/>
        <v>1.75</v>
      </c>
    </row>
    <row r="109" spans="1:11" x14ac:dyDescent="0.5">
      <c r="A109" s="228">
        <f t="shared" si="11"/>
        <v>14313.881527918495</v>
      </c>
      <c r="B109" s="228">
        <f ca="1">PROBLEMA!$F$84/(E109/IF(Tipo_Seccion_Ale=$J$17,12^0.5,4))</f>
        <v>118.51851851851852</v>
      </c>
      <c r="C109" s="229">
        <f t="shared" ca="1" si="12"/>
        <v>2.48</v>
      </c>
      <c r="D109" s="230">
        <f t="shared" ca="1" si="13"/>
        <v>5771.7264225477802</v>
      </c>
      <c r="E109" s="231">
        <f t="shared" si="17"/>
        <v>135</v>
      </c>
      <c r="G109" s="232">
        <f t="shared" ca="1" si="14"/>
        <v>25730.429231063805</v>
      </c>
      <c r="H109" s="158">
        <f ca="1">PROBLEMA!$E$105/G109*K109</f>
        <v>42.142126361844959</v>
      </c>
      <c r="I109" s="158">
        <f t="shared" ca="1" si="15"/>
        <v>181</v>
      </c>
      <c r="J109" s="233">
        <f ca="1">PROBLEMA!$F$102/(I109/IF(Tipo_Seccion_Ale=$J$17,12^0.5,4))</f>
        <v>88.39779005524862</v>
      </c>
      <c r="K109" s="234">
        <f t="shared" ca="1" si="16"/>
        <v>1.75</v>
      </c>
    </row>
    <row r="110" spans="1:11" x14ac:dyDescent="0.5">
      <c r="A110" s="228">
        <f t="shared" si="11"/>
        <v>14526.724430199203</v>
      </c>
      <c r="B110" s="228">
        <f ca="1">PROBLEMA!$F$84/(E110/IF(Tipo_Seccion_Ale=$J$17,12^0.5,4))</f>
        <v>117.64705882352941</v>
      </c>
      <c r="C110" s="229">
        <f t="shared" ca="1" si="12"/>
        <v>2.4500000000000002</v>
      </c>
      <c r="D110" s="230">
        <f t="shared" ca="1" si="13"/>
        <v>5929.2752776323277</v>
      </c>
      <c r="E110" s="231">
        <f t="shared" si="17"/>
        <v>136</v>
      </c>
      <c r="G110" s="232">
        <f t="shared" ca="1" si="14"/>
        <v>26015.528764377075</v>
      </c>
      <c r="H110" s="158">
        <f ca="1">PROBLEMA!$E$105/G110*K110</f>
        <v>41.203952059118066</v>
      </c>
      <c r="I110" s="158">
        <f t="shared" ca="1" si="15"/>
        <v>182</v>
      </c>
      <c r="J110" s="233">
        <f ca="1">PROBLEMA!$F$102/(I110/IF(Tipo_Seccion_Ale=$J$17,12^0.5,4))</f>
        <v>87.912087912087912</v>
      </c>
      <c r="K110" s="234">
        <f t="shared" ca="1" si="16"/>
        <v>1.73</v>
      </c>
    </row>
    <row r="111" spans="1:11" x14ac:dyDescent="0.5">
      <c r="A111" s="228">
        <f t="shared" si="11"/>
        <v>14741.138128806706</v>
      </c>
      <c r="B111" s="228">
        <f ca="1">PROBLEMA!$F$84/(E111/IF(Tipo_Seccion_Ale=$J$17,12^0.5,4))</f>
        <v>116.78832116788321</v>
      </c>
      <c r="C111" s="229">
        <f t="shared" ca="1" si="12"/>
        <v>2.42</v>
      </c>
      <c r="D111" s="230">
        <f t="shared" ca="1" si="13"/>
        <v>6091.3793920688868</v>
      </c>
      <c r="E111" s="231">
        <f t="shared" si="17"/>
        <v>137</v>
      </c>
      <c r="G111" s="232">
        <f t="shared" ca="1" si="14"/>
        <v>26302.199094017145</v>
      </c>
      <c r="H111" s="158">
        <f ca="1">PROBLEMA!$E$105/G111*K111</f>
        <v>40.754866015892581</v>
      </c>
      <c r="I111" s="158">
        <f t="shared" ca="1" si="15"/>
        <v>183</v>
      </c>
      <c r="J111" s="233">
        <f ca="1">PROBLEMA!$F$102/(I111/IF(Tipo_Seccion_Ale=$J$17,12^0.5,4))</f>
        <v>87.431693989071036</v>
      </c>
      <c r="K111" s="234">
        <f t="shared" ca="1" si="16"/>
        <v>1.73</v>
      </c>
    </row>
    <row r="112" spans="1:11" x14ac:dyDescent="0.5">
      <c r="A112" s="228">
        <f t="shared" si="11"/>
        <v>14957.122623741005</v>
      </c>
      <c r="B112" s="228">
        <f ca="1">PROBLEMA!$F$84/(E112/IF(Tipo_Seccion_Ale=$J$17,12^0.5,4))</f>
        <v>115.94202898550725</v>
      </c>
      <c r="C112" s="229">
        <f t="shared" ca="1" si="12"/>
        <v>2.4</v>
      </c>
      <c r="D112" s="230">
        <f t="shared" ca="1" si="13"/>
        <v>6232.1344265587522</v>
      </c>
      <c r="E112" s="231">
        <f t="shared" si="17"/>
        <v>138</v>
      </c>
      <c r="G112" s="232">
        <f t="shared" ca="1" si="14"/>
        <v>26590.440219984008</v>
      </c>
      <c r="H112" s="158">
        <f ca="1">PROBLEMA!$E$105/G112*K112</f>
        <v>39.847034920606411</v>
      </c>
      <c r="I112" s="158">
        <f t="shared" ca="1" si="15"/>
        <v>184</v>
      </c>
      <c r="J112" s="233">
        <f ca="1">PROBLEMA!$F$102/(I112/IF(Tipo_Seccion_Ale=$J$17,12^0.5,4))</f>
        <v>86.956521739130437</v>
      </c>
      <c r="K112" s="234">
        <f t="shared" ca="1" si="16"/>
        <v>1.71</v>
      </c>
    </row>
    <row r="113" spans="1:11" x14ac:dyDescent="0.5">
      <c r="A113" s="228">
        <f t="shared" si="11"/>
        <v>15174.677915002098</v>
      </c>
      <c r="B113" s="228">
        <f ca="1">PROBLEMA!$F$84/(E113/IF(Tipo_Seccion_Ale=$J$17,12^0.5,4))</f>
        <v>115.10791366906474</v>
      </c>
      <c r="C113" s="229">
        <f t="shared" ca="1" si="12"/>
        <v>2.4</v>
      </c>
      <c r="D113" s="230">
        <f t="shared" ca="1" si="13"/>
        <v>6322.7824645842074</v>
      </c>
      <c r="E113" s="231">
        <f t="shared" si="17"/>
        <v>139</v>
      </c>
      <c r="G113" s="232">
        <f t="shared" ca="1" si="14"/>
        <v>26880.252142277666</v>
      </c>
      <c r="H113" s="158">
        <f ca="1">PROBLEMA!$E$105/G113*K113</f>
        <v>39.417420431615803</v>
      </c>
      <c r="I113" s="158">
        <f t="shared" ca="1" si="15"/>
        <v>185</v>
      </c>
      <c r="J113" s="233">
        <f ca="1">PROBLEMA!$F$102/(I113/IF(Tipo_Seccion_Ale=$J$17,12^0.5,4))</f>
        <v>86.486486486486484</v>
      </c>
      <c r="K113" s="234">
        <f t="shared" ca="1" si="16"/>
        <v>1.71</v>
      </c>
    </row>
    <row r="114" spans="1:11" x14ac:dyDescent="0.5">
      <c r="A114" s="228">
        <f t="shared" si="11"/>
        <v>15393.804002589986</v>
      </c>
      <c r="B114" s="228">
        <f ca="1">PROBLEMA!$F$84/(E114/IF(Tipo_Seccion_Ale=$J$17,12^0.5,4))</f>
        <v>114.28571428571429</v>
      </c>
      <c r="C114" s="229">
        <f t="shared" ca="1" si="12"/>
        <v>2.37</v>
      </c>
      <c r="D114" s="230">
        <f t="shared" ca="1" si="13"/>
        <v>6495.2759504599098</v>
      </c>
      <c r="E114" s="231">
        <f t="shared" si="17"/>
        <v>140</v>
      </c>
      <c r="G114" s="232">
        <f t="shared" ca="1" si="14"/>
        <v>27171.634860898121</v>
      </c>
      <c r="H114" s="158">
        <f ca="1">PROBLEMA!$E$105/G114*K114</f>
        <v>38.994716564691018</v>
      </c>
      <c r="I114" s="158">
        <f t="shared" ca="1" si="15"/>
        <v>186</v>
      </c>
      <c r="J114" s="233">
        <f ca="1">PROBLEMA!$F$102/(I114/IF(Tipo_Seccion_Ale=$J$17,12^0.5,4))</f>
        <v>86.021505376344081</v>
      </c>
      <c r="K114" s="234">
        <f t="shared" ca="1" si="16"/>
        <v>1.71</v>
      </c>
    </row>
    <row r="115" spans="1:11" x14ac:dyDescent="0.5">
      <c r="A115" s="228">
        <f t="shared" si="11"/>
        <v>15614.500886504669</v>
      </c>
      <c r="B115" s="228">
        <f ca="1">PROBLEMA!$F$84/(E115/IF(Tipo_Seccion_Ale=$J$17,12^0.5,4))</f>
        <v>113.47517730496453</v>
      </c>
      <c r="C115" s="229">
        <f t="shared" ca="1" si="12"/>
        <v>2.34</v>
      </c>
      <c r="D115" s="230">
        <f t="shared" ca="1" si="13"/>
        <v>6672.863626711398</v>
      </c>
      <c r="E115" s="231">
        <f t="shared" si="17"/>
        <v>141</v>
      </c>
      <c r="G115" s="232">
        <f t="shared" ca="1" si="14"/>
        <v>27464.588375845367</v>
      </c>
      <c r="H115" s="158">
        <f ca="1">PROBLEMA!$E$105/G115*K115</f>
        <v>38.127562141836336</v>
      </c>
      <c r="I115" s="158">
        <f t="shared" ca="1" si="15"/>
        <v>187</v>
      </c>
      <c r="J115" s="233">
        <f ca="1">PROBLEMA!$F$102/(I115/IF(Tipo_Seccion_Ale=$J$17,12^0.5,4))</f>
        <v>85.561497326203209</v>
      </c>
      <c r="K115" s="234">
        <f t="shared" ca="1" si="16"/>
        <v>1.69</v>
      </c>
    </row>
    <row r="116" spans="1:11" x14ac:dyDescent="0.5">
      <c r="A116" s="228">
        <f t="shared" si="11"/>
        <v>15836.768566746146</v>
      </c>
      <c r="B116" s="228">
        <f ca="1">PROBLEMA!$F$84/(E116/IF(Tipo_Seccion_Ale=$J$17,12^0.5,4))</f>
        <v>112.67605633802818</v>
      </c>
      <c r="C116" s="229">
        <f t="shared" ca="1" si="12"/>
        <v>2.31</v>
      </c>
      <c r="D116" s="230">
        <f t="shared" ca="1" si="13"/>
        <v>6855.7439682883751</v>
      </c>
      <c r="E116" s="231">
        <f t="shared" si="17"/>
        <v>142</v>
      </c>
      <c r="G116" s="232">
        <f t="shared" ca="1" si="14"/>
        <v>27759.112687119414</v>
      </c>
      <c r="H116" s="158">
        <f ca="1">PROBLEMA!$E$105/G116*K116</f>
        <v>37.723028534910434</v>
      </c>
      <c r="I116" s="158">
        <f t="shared" ca="1" si="15"/>
        <v>188</v>
      </c>
      <c r="J116" s="233">
        <f ca="1">PROBLEMA!$F$102/(I116/IF(Tipo_Seccion_Ale=$J$17,12^0.5,4))</f>
        <v>85.106382978723403</v>
      </c>
      <c r="K116" s="234">
        <f t="shared" ca="1" si="16"/>
        <v>1.69</v>
      </c>
    </row>
    <row r="117" spans="1:11" x14ac:dyDescent="0.5">
      <c r="A117" s="228">
        <f t="shared" si="11"/>
        <v>16060.60704331442</v>
      </c>
      <c r="B117" s="228">
        <f ca="1">PROBLEMA!$F$84/(E117/IF(Tipo_Seccion_Ale=$J$17,12^0.5,4))</f>
        <v>111.88811188811189</v>
      </c>
      <c r="C117" s="229">
        <f t="shared" ca="1" si="12"/>
        <v>2.29</v>
      </c>
      <c r="D117" s="230">
        <f t="shared" ca="1" si="13"/>
        <v>7013.3655210979996</v>
      </c>
      <c r="E117" s="231">
        <f t="shared" si="17"/>
        <v>143</v>
      </c>
      <c r="G117" s="232">
        <f t="shared" ca="1" si="14"/>
        <v>28055.207794720249</v>
      </c>
      <c r="H117" s="158">
        <f ca="1">PROBLEMA!$E$105/G117*K117</f>
        <v>37.104041702941871</v>
      </c>
      <c r="I117" s="158">
        <f t="shared" ca="1" si="15"/>
        <v>189</v>
      </c>
      <c r="J117" s="233">
        <f ca="1">PROBLEMA!$F$102/(I117/IF(Tipo_Seccion_Ale=$J$17,12^0.5,4))</f>
        <v>84.656084656084658</v>
      </c>
      <c r="K117" s="234">
        <f t="shared" ca="1" si="16"/>
        <v>1.68</v>
      </c>
    </row>
    <row r="118" spans="1:11" x14ac:dyDescent="0.5">
      <c r="A118" s="228">
        <f t="shared" si="11"/>
        <v>16286.016316209487</v>
      </c>
      <c r="B118" s="228">
        <f ca="1">PROBLEMA!$F$84/(E118/IF(Tipo_Seccion_Ale=$J$17,12^0.5,4))</f>
        <v>111.11111111111111</v>
      </c>
      <c r="C118" s="229">
        <f t="shared" ca="1" si="12"/>
        <v>2.29</v>
      </c>
      <c r="D118" s="230">
        <f t="shared" ca="1" si="13"/>
        <v>7111.7975179954092</v>
      </c>
      <c r="E118" s="231">
        <f t="shared" si="17"/>
        <v>144</v>
      </c>
      <c r="G118" s="232">
        <f t="shared" ca="1" si="14"/>
        <v>28352.873698647883</v>
      </c>
      <c r="H118" s="158">
        <f ca="1">PROBLEMA!$E$105/G118*K118</f>
        <v>36.714500655700455</v>
      </c>
      <c r="I118" s="158">
        <f t="shared" ca="1" si="15"/>
        <v>190</v>
      </c>
      <c r="J118" s="233">
        <f ca="1">PROBLEMA!$F$102/(I118/IF(Tipo_Seccion_Ale=$J$17,12^0.5,4))</f>
        <v>84.21052631578948</v>
      </c>
      <c r="K118" s="234">
        <f t="shared" ca="1" si="16"/>
        <v>1.68</v>
      </c>
    </row>
    <row r="119" spans="1:11" x14ac:dyDescent="0.5">
      <c r="A119" s="228">
        <f t="shared" si="11"/>
        <v>16512.99638543135</v>
      </c>
      <c r="B119" s="228">
        <f ca="1">PROBLEMA!$F$84/(E119/IF(Tipo_Seccion_Ale=$J$17,12^0.5,4))</f>
        <v>110.34482758620689</v>
      </c>
      <c r="C119" s="229">
        <f t="shared" ca="1" si="12"/>
        <v>2.2599999999999998</v>
      </c>
      <c r="D119" s="230">
        <f t="shared" ca="1" si="13"/>
        <v>7306.6355687749347</v>
      </c>
      <c r="E119" s="231">
        <f t="shared" si="17"/>
        <v>145</v>
      </c>
      <c r="G119" s="232">
        <f t="shared" ca="1" si="14"/>
        <v>28652.11039890231</v>
      </c>
      <c r="H119" s="158">
        <f ca="1">PROBLEMA!$E$105/G119*K119</f>
        <v>35.898549380132415</v>
      </c>
      <c r="I119" s="158">
        <f t="shared" ca="1" si="15"/>
        <v>191</v>
      </c>
      <c r="J119" s="233">
        <f ca="1">PROBLEMA!$F$102/(I119/IF(Tipo_Seccion_Ale=$J$17,12^0.5,4))</f>
        <v>83.769633507853399</v>
      </c>
      <c r="K119" s="234">
        <f t="shared" ca="1" si="16"/>
        <v>1.66</v>
      </c>
    </row>
    <row r="120" spans="1:11" x14ac:dyDescent="0.5">
      <c r="A120" s="228">
        <f t="shared" si="11"/>
        <v>16741.547250980009</v>
      </c>
      <c r="B120" s="228">
        <f ca="1">PROBLEMA!$F$84/(E120/IF(Tipo_Seccion_Ale=$J$17,12^0.5,4))</f>
        <v>109.58904109589041</v>
      </c>
      <c r="C120" s="229">
        <f t="shared" ca="1" si="12"/>
        <v>2.23</v>
      </c>
      <c r="D120" s="230">
        <f t="shared" ca="1" si="13"/>
        <v>7507.4202919192867</v>
      </c>
      <c r="E120" s="231">
        <f t="shared" si="17"/>
        <v>146</v>
      </c>
      <c r="G120" s="232">
        <f t="shared" ca="1" si="14"/>
        <v>28952.917895483533</v>
      </c>
      <c r="H120" s="158">
        <f ca="1">PROBLEMA!$E$105/G120*K120</f>
        <v>35.525579967898501</v>
      </c>
      <c r="I120" s="158">
        <f t="shared" ca="1" si="15"/>
        <v>192</v>
      </c>
      <c r="J120" s="233">
        <f ca="1">PROBLEMA!$F$102/(I120/IF(Tipo_Seccion_Ale=$J$17,12^0.5,4))</f>
        <v>83.333333333333329</v>
      </c>
      <c r="K120" s="234">
        <f t="shared" ca="1" si="16"/>
        <v>1.66</v>
      </c>
    </row>
    <row r="121" spans="1:11" x14ac:dyDescent="0.5">
      <c r="A121" s="228">
        <f t="shared" si="11"/>
        <v>16971.668912855461</v>
      </c>
      <c r="B121" s="228">
        <f ca="1">PROBLEMA!$F$84/(E121/IF(Tipo_Seccion_Ale=$J$17,12^0.5,4))</f>
        <v>108.84353741496598</v>
      </c>
      <c r="C121" s="229">
        <f t="shared" ca="1" si="12"/>
        <v>2.21</v>
      </c>
      <c r="D121" s="230">
        <f t="shared" ca="1" si="13"/>
        <v>7679.4881958622</v>
      </c>
      <c r="E121" s="231">
        <f t="shared" si="17"/>
        <v>147</v>
      </c>
      <c r="G121" s="232">
        <f t="shared" ca="1" si="14"/>
        <v>29255.296188391552</v>
      </c>
      <c r="H121" s="158">
        <f ca="1">PROBLEMA!$E$105/G121*K121</f>
        <v>34.73479787920305</v>
      </c>
      <c r="I121" s="158">
        <f t="shared" ca="1" si="15"/>
        <v>193</v>
      </c>
      <c r="J121" s="233">
        <f ca="1">PROBLEMA!$F$102/(I121/IF(Tipo_Seccion_Ale=$J$17,12^0.5,4))</f>
        <v>82.901554404145074</v>
      </c>
      <c r="K121" s="234">
        <f t="shared" ca="1" si="16"/>
        <v>1.64</v>
      </c>
    </row>
    <row r="122" spans="1:11" x14ac:dyDescent="0.5">
      <c r="A122" s="228">
        <f t="shared" si="11"/>
        <v>17203.361371057708</v>
      </c>
      <c r="B122" s="228">
        <f ca="1">PROBLEMA!$F$84/(E122/IF(Tipo_Seccion_Ale=$J$17,12^0.5,4))</f>
        <v>108.10810810810811</v>
      </c>
      <c r="C122" s="229">
        <f t="shared" ca="1" si="12"/>
        <v>2.21</v>
      </c>
      <c r="D122" s="230">
        <f t="shared" ca="1" si="13"/>
        <v>7784.3264122433075</v>
      </c>
      <c r="E122" s="231">
        <f t="shared" si="17"/>
        <v>148</v>
      </c>
      <c r="G122" s="232">
        <f t="shared" ca="1" si="14"/>
        <v>29559.245277626364</v>
      </c>
      <c r="H122" s="158">
        <f ca="1">PROBLEMA!$E$105/G122*K122</f>
        <v>34.37763009359216</v>
      </c>
      <c r="I122" s="158">
        <f t="shared" ca="1" si="15"/>
        <v>194</v>
      </c>
      <c r="J122" s="233">
        <f ca="1">PROBLEMA!$F$102/(I122/IF(Tipo_Seccion_Ale=$J$17,12^0.5,4))</f>
        <v>82.474226804123717</v>
      </c>
      <c r="K122" s="234">
        <f t="shared" ca="1" si="16"/>
        <v>1.64</v>
      </c>
    </row>
    <row r="123" spans="1:11" x14ac:dyDescent="0.5">
      <c r="A123" s="228">
        <f t="shared" si="11"/>
        <v>17436.624625586748</v>
      </c>
      <c r="B123" s="228">
        <f ca="1">PROBLEMA!$F$84/(E123/IF(Tipo_Seccion_Ale=$J$17,12^0.5,4))</f>
        <v>107.38255033557047</v>
      </c>
      <c r="C123" s="229">
        <f t="shared" ca="1" si="12"/>
        <v>2.1800000000000002</v>
      </c>
      <c r="D123" s="230">
        <f t="shared" ca="1" si="13"/>
        <v>7998.4516631131864</v>
      </c>
      <c r="E123" s="231">
        <f t="shared" si="17"/>
        <v>149</v>
      </c>
      <c r="G123" s="232">
        <f t="shared" ca="1" si="14"/>
        <v>29864.765163187971</v>
      </c>
      <c r="H123" s="158">
        <f ca="1">PROBLEMA!$E$105/G123*K123</f>
        <v>34.025943095396038</v>
      </c>
      <c r="I123" s="158">
        <f t="shared" ca="1" si="15"/>
        <v>195</v>
      </c>
      <c r="J123" s="233">
        <f ca="1">PROBLEMA!$F$102/(I123/IF(Tipo_Seccion_Ale=$J$17,12^0.5,4))</f>
        <v>82.051282051282058</v>
      </c>
      <c r="K123" s="234">
        <f t="shared" ca="1" si="16"/>
        <v>1.64</v>
      </c>
    </row>
    <row r="124" spans="1:11" x14ac:dyDescent="0.5">
      <c r="A124" s="228">
        <f t="shared" si="11"/>
        <v>17671.458676442588</v>
      </c>
      <c r="B124" s="228">
        <f ca="1">PROBLEMA!$F$84/(E124/IF(Tipo_Seccion_Ale=$J$17,12^0.5,4))</f>
        <v>106.66666666666667</v>
      </c>
      <c r="C124" s="229">
        <f t="shared" ca="1" si="12"/>
        <v>2.16</v>
      </c>
      <c r="D124" s="230">
        <f t="shared" ca="1" si="13"/>
        <v>8181.2308687234199</v>
      </c>
      <c r="E124" s="231">
        <f t="shared" si="17"/>
        <v>150</v>
      </c>
      <c r="G124" s="232">
        <f t="shared" ca="1" si="14"/>
        <v>30171.855845076374</v>
      </c>
      <c r="H124" s="158">
        <f ca="1">PROBLEMA!$E$105/G124*K124</f>
        <v>33.268898179619391</v>
      </c>
      <c r="I124" s="158">
        <f t="shared" ca="1" si="15"/>
        <v>196</v>
      </c>
      <c r="J124" s="233">
        <f ca="1">PROBLEMA!$F$102/(I124/IF(Tipo_Seccion_Ale=$J$17,12^0.5,4))</f>
        <v>81.632653061224488</v>
      </c>
      <c r="K124" s="234">
        <f t="shared" ca="1" si="16"/>
        <v>1.62</v>
      </c>
    </row>
    <row r="125" spans="1:11" x14ac:dyDescent="0.5">
      <c r="A125" s="228">
        <f t="shared" si="11"/>
        <v>17907.863523625219</v>
      </c>
      <c r="B125" s="228">
        <f ca="1">PROBLEMA!$F$84/(E125/IF(Tipo_Seccion_Ale=$J$17,12^0.5,4))</f>
        <v>105.96026490066225</v>
      </c>
      <c r="C125" s="229">
        <f t="shared" ca="1" si="12"/>
        <v>2.13</v>
      </c>
      <c r="D125" s="230">
        <f t="shared" ca="1" si="13"/>
        <v>8407.4476636738127</v>
      </c>
      <c r="E125" s="231">
        <f t="shared" si="17"/>
        <v>151</v>
      </c>
      <c r="G125" s="232">
        <f t="shared" ca="1" si="14"/>
        <v>30480.517323291569</v>
      </c>
      <c r="H125" s="158">
        <f ca="1">PROBLEMA!$E$105/G125*K125</f>
        <v>32.932000115134599</v>
      </c>
      <c r="I125" s="158">
        <f t="shared" ca="1" si="15"/>
        <v>197</v>
      </c>
      <c r="J125" s="233">
        <f ca="1">PROBLEMA!$F$102/(I125/IF(Tipo_Seccion_Ale=$J$17,12^0.5,4))</f>
        <v>81.218274111675129</v>
      </c>
      <c r="K125" s="234">
        <f t="shared" ca="1" si="16"/>
        <v>1.62</v>
      </c>
    </row>
    <row r="126" spans="1:11" x14ac:dyDescent="0.5">
      <c r="A126" s="228">
        <f t="shared" si="11"/>
        <v>18145.839167134644</v>
      </c>
      <c r="B126" s="228">
        <f ca="1">PROBLEMA!$F$84/(E126/IF(Tipo_Seccion_Ale=$J$17,12^0.5,4))</f>
        <v>105.26315789473684</v>
      </c>
      <c r="C126" s="229">
        <f t="shared" ca="1" si="12"/>
        <v>2.13</v>
      </c>
      <c r="D126" s="230">
        <f t="shared" ca="1" si="13"/>
        <v>8519.1733179035891</v>
      </c>
      <c r="E126" s="231">
        <f t="shared" si="17"/>
        <v>152</v>
      </c>
      <c r="G126" s="232">
        <f t="shared" ca="1" si="14"/>
        <v>30790.749597833561</v>
      </c>
      <c r="H126" s="158">
        <f ca="1">PROBLEMA!$E$105/G126*K126</f>
        <v>32.398957902284735</v>
      </c>
      <c r="I126" s="158">
        <f t="shared" ca="1" si="15"/>
        <v>198</v>
      </c>
      <c r="J126" s="233">
        <f ca="1">PROBLEMA!$F$102/(I126/IF(Tipo_Seccion_Ale=$J$17,12^0.5,4))</f>
        <v>80.808080808080803</v>
      </c>
      <c r="K126" s="234">
        <f t="shared" ca="1" si="16"/>
        <v>1.61</v>
      </c>
    </row>
    <row r="127" spans="1:11" x14ac:dyDescent="0.5">
      <c r="A127" s="228">
        <f t="shared" si="11"/>
        <v>18385.385606970867</v>
      </c>
      <c r="B127" s="228">
        <f ca="1">PROBLEMA!$F$84/(E127/IF(Tipo_Seccion_Ale=$J$17,12^0.5,4))</f>
        <v>104.57516339869281</v>
      </c>
      <c r="C127" s="229">
        <f t="shared" ca="1" si="12"/>
        <v>2.11</v>
      </c>
      <c r="D127" s="230">
        <f t="shared" ca="1" si="13"/>
        <v>8713.4528942989891</v>
      </c>
      <c r="E127" s="231">
        <f t="shared" si="17"/>
        <v>153</v>
      </c>
      <c r="G127" s="232">
        <f t="shared" ca="1" si="14"/>
        <v>31102.552668702348</v>
      </c>
      <c r="H127" s="158">
        <f ca="1">PROBLEMA!$E$105/G127*K127</f>
        <v>32.074158369767702</v>
      </c>
      <c r="I127" s="158">
        <f t="shared" ca="1" si="15"/>
        <v>199</v>
      </c>
      <c r="J127" s="233">
        <f ca="1">PROBLEMA!$F$102/(I127/IF(Tipo_Seccion_Ale=$J$17,12^0.5,4))</f>
        <v>80.402010050251263</v>
      </c>
      <c r="K127" s="234">
        <f t="shared" ca="1" si="16"/>
        <v>1.61</v>
      </c>
    </row>
    <row r="128" spans="1:11" x14ac:dyDescent="0.5">
      <c r="A128" s="228">
        <f t="shared" si="11"/>
        <v>18626.502843133883</v>
      </c>
      <c r="B128" s="228">
        <f ca="1">PROBLEMA!$F$84/(E128/IF(Tipo_Seccion_Ale=$J$17,12^0.5,4))</f>
        <v>103.8961038961039</v>
      </c>
      <c r="C128" s="229">
        <f t="shared" ca="1" si="12"/>
        <v>2.08</v>
      </c>
      <c r="D128" s="230">
        <f t="shared" ca="1" si="13"/>
        <v>8955.0494438143669</v>
      </c>
      <c r="E128" s="231">
        <f t="shared" si="17"/>
        <v>154</v>
      </c>
      <c r="G128" s="232">
        <f t="shared" ca="1" si="14"/>
        <v>31415.926535897932</v>
      </c>
      <c r="H128" s="158">
        <f ca="1">PROBLEMA!$E$105/G128*K128</f>
        <v>31.35975629667486</v>
      </c>
      <c r="I128" s="158">
        <f t="shared" ca="1" si="15"/>
        <v>200</v>
      </c>
      <c r="J128" s="233">
        <f ca="1">PROBLEMA!$F$102/(I128/IF(Tipo_Seccion_Ale=$J$17,12^0.5,4))</f>
        <v>80</v>
      </c>
      <c r="K128" s="234">
        <f t="shared" ca="1" si="16"/>
        <v>1.59</v>
      </c>
    </row>
    <row r="129" spans="1:11" x14ac:dyDescent="0.5">
      <c r="A129" s="228">
        <f t="shared" si="11"/>
        <v>18869.190875623695</v>
      </c>
      <c r="B129" s="228">
        <f ca="1">PROBLEMA!$F$84/(E129/IF(Tipo_Seccion_Ale=$J$17,12^0.5,4))</f>
        <v>103.2258064516129</v>
      </c>
      <c r="C129" s="229">
        <f t="shared" ca="1" si="12"/>
        <v>2.08</v>
      </c>
      <c r="D129" s="230">
        <f t="shared" ca="1" si="13"/>
        <v>9071.7263825113914</v>
      </c>
      <c r="E129" s="231">
        <f t="shared" si="17"/>
        <v>155</v>
      </c>
      <c r="G129" s="232">
        <f t="shared" ca="1" si="14"/>
        <v>31730.871199420308</v>
      </c>
      <c r="H129" s="158">
        <f ca="1">PROBLEMA!$E$105/G129*K129</f>
        <v>31.04849513296687</v>
      </c>
      <c r="I129" s="158">
        <f t="shared" ca="1" si="15"/>
        <v>201</v>
      </c>
      <c r="J129" s="233">
        <f ca="1">PROBLEMA!$F$102/(I129/IF(Tipo_Seccion_Ale=$J$17,12^0.5,4))</f>
        <v>79.601990049751237</v>
      </c>
      <c r="K129" s="234">
        <f t="shared" ca="1" si="16"/>
        <v>1.59</v>
      </c>
    </row>
    <row r="130" spans="1:11" x14ac:dyDescent="0.5">
      <c r="A130" s="228">
        <f t="shared" si="11"/>
        <v>19113.4497044403</v>
      </c>
      <c r="B130" s="228">
        <f ca="1">PROBLEMA!$F$84/(E130/IF(Tipo_Seccion_Ale=$J$17,12^0.5,4))</f>
        <v>102.56410256410257</v>
      </c>
      <c r="C130" s="229">
        <f t="shared" ca="1" si="12"/>
        <v>2.06</v>
      </c>
      <c r="D130" s="230">
        <f t="shared" ca="1" si="13"/>
        <v>9278.3736429321834</v>
      </c>
      <c r="E130" s="231">
        <f t="shared" si="17"/>
        <v>156</v>
      </c>
      <c r="G130" s="232">
        <f t="shared" ca="1" si="14"/>
        <v>32047.386659269479</v>
      </c>
      <c r="H130" s="158">
        <f ca="1">PROBLEMA!$E$105/G130*K130</f>
        <v>30.741845207994178</v>
      </c>
      <c r="I130" s="158">
        <f t="shared" ca="1" si="15"/>
        <v>202</v>
      </c>
      <c r="J130" s="233">
        <f ca="1">PROBLEMA!$F$102/(I130/IF(Tipo_Seccion_Ale=$J$17,12^0.5,4))</f>
        <v>79.207920792079207</v>
      </c>
      <c r="K130" s="234">
        <f t="shared" ca="1" si="16"/>
        <v>1.59</v>
      </c>
    </row>
    <row r="131" spans="1:11" x14ac:dyDescent="0.5">
      <c r="A131" s="228">
        <f t="shared" si="11"/>
        <v>19359.279329583704</v>
      </c>
      <c r="B131" s="228">
        <f ca="1">PROBLEMA!$F$84/(E131/IF(Tipo_Seccion_Ale=$J$17,12^0.5,4))</f>
        <v>101.91082802547771</v>
      </c>
      <c r="C131" s="229">
        <f t="shared" ca="1" si="12"/>
        <v>2.0299999999999998</v>
      </c>
      <c r="D131" s="230">
        <f t="shared" ca="1" si="13"/>
        <v>9536.5908027505939</v>
      </c>
      <c r="E131" s="231">
        <f t="shared" si="17"/>
        <v>157</v>
      </c>
      <c r="G131" s="232">
        <f t="shared" ca="1" si="14"/>
        <v>32365.472915445447</v>
      </c>
      <c r="H131" s="158">
        <f ca="1">PROBLEMA!$E$105/G131*K131</f>
        <v>30.056826376102755</v>
      </c>
      <c r="I131" s="158">
        <f t="shared" ca="1" si="15"/>
        <v>203</v>
      </c>
      <c r="J131" s="233">
        <f ca="1">PROBLEMA!$F$102/(I131/IF(Tipo_Seccion_Ale=$J$17,12^0.5,4))</f>
        <v>78.817733990147786</v>
      </c>
      <c r="K131" s="234">
        <f t="shared" ca="1" si="16"/>
        <v>1.57</v>
      </c>
    </row>
    <row r="132" spans="1:11" x14ac:dyDescent="0.5">
      <c r="A132" s="228">
        <f t="shared" si="11"/>
        <v>19606.6797510539</v>
      </c>
      <c r="B132" s="228">
        <f ca="1">PROBLEMA!$F$84/(E132/IF(Tipo_Seccion_Ale=$J$17,12^0.5,4))</f>
        <v>101.26582278481013</v>
      </c>
      <c r="C132" s="229">
        <f t="shared" ca="1" si="12"/>
        <v>2.0299999999999998</v>
      </c>
      <c r="D132" s="230">
        <f t="shared" ca="1" si="13"/>
        <v>9658.4629315536458</v>
      </c>
      <c r="E132" s="231">
        <f t="shared" si="17"/>
        <v>158</v>
      </c>
      <c r="G132" s="232">
        <f t="shared" ca="1" si="14"/>
        <v>32685.129967948207</v>
      </c>
      <c r="H132" s="158">
        <f ca="1">PROBLEMA!$E$105/G132*K132</f>
        <v>29.762873849788988</v>
      </c>
      <c r="I132" s="158">
        <f t="shared" ca="1" si="15"/>
        <v>204</v>
      </c>
      <c r="J132" s="233">
        <f ca="1">PROBLEMA!$F$102/(I132/IF(Tipo_Seccion_Ale=$J$17,12^0.5,4))</f>
        <v>78.431372549019613</v>
      </c>
      <c r="K132" s="234">
        <f t="shared" ca="1" si="16"/>
        <v>1.57</v>
      </c>
    </row>
    <row r="133" spans="1:11" x14ac:dyDescent="0.5">
      <c r="A133" s="228">
        <f t="shared" si="11"/>
        <v>19855.650968850889</v>
      </c>
      <c r="B133" s="228">
        <f ca="1">PROBLEMA!$F$84/(E133/IF(Tipo_Seccion_Ale=$J$17,12^0.5,4))</f>
        <v>100.62893081761007</v>
      </c>
      <c r="C133" s="229">
        <f t="shared" ca="1" si="12"/>
        <v>2.0099999999999998</v>
      </c>
      <c r="D133" s="230">
        <f t="shared" ca="1" si="13"/>
        <v>9878.4333178362649</v>
      </c>
      <c r="E133" s="231">
        <f t="shared" si="17"/>
        <v>159</v>
      </c>
      <c r="G133" s="232">
        <f t="shared" ca="1" si="14"/>
        <v>33006.357816777767</v>
      </c>
      <c r="H133" s="158">
        <f ca="1">PROBLEMA!$E$105/G133*K133</f>
        <v>29.473212567110487</v>
      </c>
      <c r="I133" s="158">
        <f t="shared" ca="1" si="15"/>
        <v>205</v>
      </c>
      <c r="J133" s="233">
        <f ca="1">PROBLEMA!$F$102/(I133/IF(Tipo_Seccion_Ale=$J$17,12^0.5,4))</f>
        <v>78.048780487804876</v>
      </c>
      <c r="K133" s="234">
        <f t="shared" ca="1" si="16"/>
        <v>1.57</v>
      </c>
    </row>
    <row r="134" spans="1:11" x14ac:dyDescent="0.5">
      <c r="A134" s="228">
        <f t="shared" si="11"/>
        <v>20106.192982974677</v>
      </c>
      <c r="B134" s="228">
        <f ca="1">PROBLEMA!$F$84/(E134/IF(Tipo_Seccion_Ale=$J$17,12^0.5,4))</f>
        <v>100</v>
      </c>
      <c r="C134" s="229">
        <f t="shared" ca="1" si="12"/>
        <v>1.99</v>
      </c>
      <c r="D134" s="230">
        <f t="shared" ca="1" si="13"/>
        <v>10103.614564308882</v>
      </c>
      <c r="E134" s="231">
        <f t="shared" si="17"/>
        <v>160</v>
      </c>
      <c r="G134" s="232">
        <f t="shared" ca="1" si="14"/>
        <v>33329.156461934115</v>
      </c>
      <c r="H134" s="158">
        <f ca="1">PROBLEMA!$E$105/G134*K134</f>
        <v>29.001850109947462</v>
      </c>
      <c r="I134" s="158">
        <f t="shared" ca="1" si="15"/>
        <v>206</v>
      </c>
      <c r="J134" s="233">
        <f ca="1">PROBLEMA!$F$102/(I134/IF(Tipo_Seccion_Ale=$J$17,12^0.5,4))</f>
        <v>77.669902912621353</v>
      </c>
      <c r="K134" s="234">
        <f t="shared" ca="1" si="16"/>
        <v>1.56</v>
      </c>
    </row>
    <row r="135" spans="1:11" x14ac:dyDescent="0.5">
      <c r="A135" s="228">
        <f t="shared" si="11"/>
        <v>20358.305793425257</v>
      </c>
      <c r="B135" s="228">
        <f ca="1">PROBLEMA!$F$84/(E135/IF(Tipo_Seccion_Ale=$J$17,12^0.5,4))</f>
        <v>99.378881987577643</v>
      </c>
      <c r="C135" s="229">
        <f t="shared" ca="1" si="12"/>
        <v>1.99</v>
      </c>
      <c r="D135" s="230">
        <f t="shared" ca="1" si="13"/>
        <v>10230.304418806661</v>
      </c>
      <c r="E135" s="231">
        <f t="shared" si="17"/>
        <v>161</v>
      </c>
      <c r="G135" s="232">
        <f t="shared" ca="1" si="14"/>
        <v>33653.525903417263</v>
      </c>
      <c r="H135" s="158">
        <f ca="1">PROBLEMA!$E$105/G135*K135</f>
        <v>28.722315836209251</v>
      </c>
      <c r="I135" s="158">
        <f t="shared" ca="1" si="15"/>
        <v>207</v>
      </c>
      <c r="J135" s="233">
        <f ca="1">PROBLEMA!$F$102/(I135/IF(Tipo_Seccion_Ale=$J$17,12^0.5,4))</f>
        <v>77.294685990338166</v>
      </c>
      <c r="K135" s="234">
        <f t="shared" ca="1" si="16"/>
        <v>1.56</v>
      </c>
    </row>
    <row r="136" spans="1:11" x14ac:dyDescent="0.5">
      <c r="A136" s="228">
        <f t="shared" si="11"/>
        <v>20611.989400202634</v>
      </c>
      <c r="B136" s="228">
        <f ca="1">PROBLEMA!$F$84/(E136/IF(Tipo_Seccion_Ale=$J$17,12^0.5,4))</f>
        <v>98.76543209876543</v>
      </c>
      <c r="C136" s="229">
        <f t="shared" ca="1" si="12"/>
        <v>1.96</v>
      </c>
      <c r="D136" s="230">
        <f t="shared" ca="1" si="13"/>
        <v>10516.321122552365</v>
      </c>
      <c r="E136" s="231">
        <f t="shared" si="17"/>
        <v>162</v>
      </c>
      <c r="G136" s="232">
        <f t="shared" ca="1" si="14"/>
        <v>33979.466141227203</v>
      </c>
      <c r="H136" s="158">
        <f ca="1">PROBLEMA!$E$105/G136*K136</f>
        <v>28.082100996938664</v>
      </c>
      <c r="I136" s="158">
        <f t="shared" ca="1" si="15"/>
        <v>208</v>
      </c>
      <c r="J136" s="233">
        <f ca="1">PROBLEMA!$F$102/(I136/IF(Tipo_Seccion_Ale=$J$17,12^0.5,4))</f>
        <v>76.92307692307692</v>
      </c>
      <c r="K136" s="234">
        <f t="shared" ca="1" si="16"/>
        <v>1.54</v>
      </c>
    </row>
    <row r="137" spans="1:11" x14ac:dyDescent="0.5">
      <c r="A137" s="228">
        <f t="shared" si="11"/>
        <v>20867.243803306803</v>
      </c>
      <c r="B137" s="228">
        <f ca="1">PROBLEMA!$F$84/(E137/IF(Tipo_Seccion_Ale=$J$17,12^0.5,4))</f>
        <v>98.159509202453989</v>
      </c>
      <c r="C137" s="229">
        <f t="shared" ca="1" si="12"/>
        <v>1.96</v>
      </c>
      <c r="D137" s="230">
        <f t="shared" ca="1" si="13"/>
        <v>10646.552960870818</v>
      </c>
      <c r="E137" s="231">
        <f t="shared" si="17"/>
        <v>163</v>
      </c>
      <c r="G137" s="232">
        <f t="shared" ca="1" si="14"/>
        <v>34306.977175363936</v>
      </c>
      <c r="H137" s="158">
        <f ca="1">PROBLEMA!$E$105/G137*K137</f>
        <v>27.814015648257929</v>
      </c>
      <c r="I137" s="158">
        <f t="shared" ca="1" si="15"/>
        <v>209</v>
      </c>
      <c r="J137" s="233">
        <f ca="1">PROBLEMA!$F$102/(I137/IF(Tipo_Seccion_Ale=$J$17,12^0.5,4))</f>
        <v>76.555023923444978</v>
      </c>
      <c r="K137" s="234">
        <f t="shared" ca="1" si="16"/>
        <v>1.54</v>
      </c>
    </row>
    <row r="138" spans="1:11" x14ac:dyDescent="0.5">
      <c r="A138" s="228">
        <f t="shared" si="11"/>
        <v>21124.069002737768</v>
      </c>
      <c r="B138" s="228">
        <f ca="1">PROBLEMA!$F$84/(E138/IF(Tipo_Seccion_Ale=$J$17,12^0.5,4))</f>
        <v>97.560975609756099</v>
      </c>
      <c r="C138" s="229">
        <f t="shared" ca="1" si="12"/>
        <v>1.94</v>
      </c>
      <c r="D138" s="230">
        <f t="shared" ca="1" si="13"/>
        <v>10888.695362235963</v>
      </c>
      <c r="E138" s="231">
        <f t="shared" si="17"/>
        <v>164</v>
      </c>
      <c r="G138" s="232">
        <f t="shared" ca="1" si="14"/>
        <v>34636.059005827468</v>
      </c>
      <c r="H138" s="158">
        <f ca="1">PROBLEMA!$E$105/G138*K138</f>
        <v>27.549750964434342</v>
      </c>
      <c r="I138" s="158">
        <f t="shared" ca="1" si="15"/>
        <v>210</v>
      </c>
      <c r="J138" s="233">
        <f ca="1">PROBLEMA!$F$102/(I138/IF(Tipo_Seccion_Ale=$J$17,12^0.5,4))</f>
        <v>76.19047619047619</v>
      </c>
      <c r="K138" s="234">
        <f t="shared" ca="1" si="16"/>
        <v>1.54</v>
      </c>
    </row>
    <row r="139" spans="1:11" x14ac:dyDescent="0.5">
      <c r="A139" s="228">
        <f t="shared" si="11"/>
        <v>21382.464998495529</v>
      </c>
      <c r="B139" s="228">
        <f ca="1">PROBLEMA!$F$84/(E139/IF(Tipo_Seccion_Ale=$J$17,12^0.5,4))</f>
        <v>96.969696969696969</v>
      </c>
      <c r="C139" s="229">
        <f t="shared" ca="1" si="12"/>
        <v>1.92</v>
      </c>
      <c r="D139" s="230">
        <f t="shared" ca="1" si="13"/>
        <v>11136.700520049755</v>
      </c>
      <c r="E139" s="231">
        <f t="shared" si="17"/>
        <v>165</v>
      </c>
      <c r="G139" s="232">
        <f t="shared" ca="1" si="14"/>
        <v>34966.711632617793</v>
      </c>
      <c r="H139" s="158">
        <f ca="1">PROBLEMA!$E$105/G139*K139</f>
        <v>26.934829042415455</v>
      </c>
      <c r="I139" s="158">
        <f t="shared" ca="1" si="15"/>
        <v>211</v>
      </c>
      <c r="J139" s="233">
        <f ca="1">PROBLEMA!$F$102/(I139/IF(Tipo_Seccion_Ale=$J$17,12^0.5,4))</f>
        <v>75.829383886255926</v>
      </c>
      <c r="K139" s="234">
        <f t="shared" ca="1" si="16"/>
        <v>1.52</v>
      </c>
    </row>
    <row r="140" spans="1:11" x14ac:dyDescent="0.5">
      <c r="A140" s="228">
        <f t="shared" si="11"/>
        <v>21642.431790580085</v>
      </c>
      <c r="B140" s="228">
        <f ca="1">PROBLEMA!$F$84/(E140/IF(Tipo_Seccion_Ale=$J$17,12^0.5,4))</f>
        <v>96.385542168674704</v>
      </c>
      <c r="C140" s="229">
        <f t="shared" ca="1" si="12"/>
        <v>1.92</v>
      </c>
      <c r="D140" s="230">
        <f t="shared" ca="1" si="13"/>
        <v>11272.099890927127</v>
      </c>
      <c r="E140" s="231">
        <f t="shared" si="17"/>
        <v>166</v>
      </c>
      <c r="G140" s="232">
        <f t="shared" ca="1" si="14"/>
        <v>35298.935055734917</v>
      </c>
      <c r="H140" s="158">
        <f ca="1">PROBLEMA!$E$105/G140*K140</f>
        <v>26.68132617918695</v>
      </c>
      <c r="I140" s="158">
        <f t="shared" ca="1" si="15"/>
        <v>212</v>
      </c>
      <c r="J140" s="233">
        <f ca="1">PROBLEMA!$F$102/(I140/IF(Tipo_Seccion_Ale=$J$17,12^0.5,4))</f>
        <v>75.471698113207552</v>
      </c>
      <c r="K140" s="234">
        <f t="shared" ca="1" si="16"/>
        <v>1.52</v>
      </c>
    </row>
    <row r="141" spans="1:11" x14ac:dyDescent="0.5">
      <c r="A141" s="228">
        <f t="shared" si="11"/>
        <v>21903.969378991434</v>
      </c>
      <c r="B141" s="228">
        <f ca="1">PROBLEMA!$F$84/(E141/IF(Tipo_Seccion_Ale=$J$17,12^0.5,4))</f>
        <v>95.808383233532936</v>
      </c>
      <c r="C141" s="229">
        <f t="shared" ca="1" si="12"/>
        <v>1.9</v>
      </c>
      <c r="D141" s="230">
        <f t="shared" ca="1" si="13"/>
        <v>11528.404936311283</v>
      </c>
      <c r="E141" s="231">
        <f t="shared" si="17"/>
        <v>167</v>
      </c>
      <c r="G141" s="232">
        <f t="shared" ca="1" si="14"/>
        <v>35632.729275178834</v>
      </c>
      <c r="H141" s="158">
        <f ca="1">PROBLEMA!$E$105/G141*K141</f>
        <v>26.431385390847893</v>
      </c>
      <c r="I141" s="158">
        <f t="shared" ca="1" si="15"/>
        <v>213</v>
      </c>
      <c r="J141" s="233">
        <f ca="1">PROBLEMA!$F$102/(I141/IF(Tipo_Seccion_Ale=$J$17,12^0.5,4))</f>
        <v>75.117370892018783</v>
      </c>
      <c r="K141" s="234">
        <f t="shared" ca="1" si="16"/>
        <v>1.52</v>
      </c>
    </row>
    <row r="142" spans="1:11" x14ac:dyDescent="0.5">
      <c r="A142" s="228">
        <f t="shared" si="11"/>
        <v>22167.07776372958</v>
      </c>
      <c r="B142" s="228">
        <f ca="1">PROBLEMA!$F$84/(E142/IF(Tipo_Seccion_Ale=$J$17,12^0.5,4))</f>
        <v>95.238095238095241</v>
      </c>
      <c r="C142" s="229">
        <f t="shared" ca="1" si="12"/>
        <v>1.9</v>
      </c>
      <c r="D142" s="230">
        <f t="shared" ca="1" si="13"/>
        <v>11666.883033541884</v>
      </c>
      <c r="E142" s="231">
        <f t="shared" si="17"/>
        <v>168</v>
      </c>
      <c r="G142" s="232">
        <f t="shared" ca="1" si="14"/>
        <v>35968.094290949542</v>
      </c>
      <c r="H142" s="158">
        <f ca="1">PROBLEMA!$E$105/G142*K142</f>
        <v>26.012670908600974</v>
      </c>
      <c r="I142" s="158">
        <f t="shared" ca="1" si="15"/>
        <v>214</v>
      </c>
      <c r="J142" s="233">
        <f ca="1">PROBLEMA!$F$102/(I142/IF(Tipo_Seccion_Ale=$J$17,12^0.5,4))</f>
        <v>74.766355140186917</v>
      </c>
      <c r="K142" s="234">
        <f t="shared" ca="1" si="16"/>
        <v>1.51</v>
      </c>
    </row>
    <row r="143" spans="1:11" x14ac:dyDescent="0.5">
      <c r="A143" s="228">
        <f t="shared" si="11"/>
        <v>22431.756944794521</v>
      </c>
      <c r="B143" s="228">
        <f ca="1">PROBLEMA!$F$84/(E143/IF(Tipo_Seccion_Ale=$J$17,12^0.5,4))</f>
        <v>94.674556213017752</v>
      </c>
      <c r="C143" s="229">
        <f t="shared" ca="1" si="12"/>
        <v>1.88</v>
      </c>
      <c r="D143" s="230">
        <f t="shared" ca="1" si="13"/>
        <v>11931.785608933256</v>
      </c>
      <c r="E143" s="231">
        <f t="shared" si="17"/>
        <v>169</v>
      </c>
      <c r="G143" s="232">
        <f t="shared" ca="1" si="14"/>
        <v>36305.030103047044</v>
      </c>
      <c r="H143" s="158">
        <f ca="1">PROBLEMA!$E$105/G143*K143</f>
        <v>25.771255314879188</v>
      </c>
      <c r="I143" s="158">
        <f t="shared" ca="1" si="15"/>
        <v>215</v>
      </c>
      <c r="J143" s="233">
        <f ca="1">PROBLEMA!$F$102/(I143/IF(Tipo_Seccion_Ale=$J$17,12^0.5,4))</f>
        <v>74.418604651162795</v>
      </c>
      <c r="K143" s="234">
        <f t="shared" ca="1" si="16"/>
        <v>1.51</v>
      </c>
    </row>
    <row r="144" spans="1:11" x14ac:dyDescent="0.5">
      <c r="A144" s="228">
        <f t="shared" si="11"/>
        <v>22698.006922186254</v>
      </c>
      <c r="B144" s="228">
        <f ca="1">PROBLEMA!$F$84/(E144/IF(Tipo_Seccion_Ale=$J$17,12^0.5,4))</f>
        <v>94.117647058823536</v>
      </c>
      <c r="C144" s="229">
        <f t="shared" ca="1" si="12"/>
        <v>1.88</v>
      </c>
      <c r="D144" s="230">
        <f t="shared" ca="1" si="13"/>
        <v>12073.407937333115</v>
      </c>
      <c r="E144" s="231">
        <f t="shared" si="17"/>
        <v>170</v>
      </c>
      <c r="G144" s="232">
        <f t="shared" ca="1" si="14"/>
        <v>36643.536711471344</v>
      </c>
      <c r="H144" s="158">
        <f ca="1">PROBLEMA!$E$105/G144*K144</f>
        <v>25.533184947922891</v>
      </c>
      <c r="I144" s="158">
        <f t="shared" ca="1" si="15"/>
        <v>216</v>
      </c>
      <c r="J144" s="233">
        <f ca="1">PROBLEMA!$F$102/(I144/IF(Tipo_Seccion_Ale=$J$17,12^0.5,4))</f>
        <v>74.074074074074076</v>
      </c>
      <c r="K144" s="234">
        <f t="shared" ca="1" si="16"/>
        <v>1.51</v>
      </c>
    </row>
    <row r="145" spans="1:11" x14ac:dyDescent="0.5">
      <c r="A145" s="228">
        <f t="shared" si="11"/>
        <v>22965.827695904783</v>
      </c>
      <c r="B145" s="228">
        <f ca="1">PROBLEMA!$F$84/(E145/IF(Tipo_Seccion_Ale=$J$17,12^0.5,4))</f>
        <v>93.567251461988306</v>
      </c>
      <c r="C145" s="229">
        <f t="shared" ca="1" si="12"/>
        <v>1.85</v>
      </c>
      <c r="D145" s="230">
        <f t="shared" ca="1" si="13"/>
        <v>12413.960916705288</v>
      </c>
      <c r="E145" s="231">
        <f t="shared" si="17"/>
        <v>171</v>
      </c>
      <c r="G145" s="232">
        <f t="shared" ca="1" si="14"/>
        <v>36983.614116222445</v>
      </c>
      <c r="H145" s="158">
        <f ca="1">PROBLEMA!$E$105/G145*K145</f>
        <v>24.963320163862353</v>
      </c>
      <c r="I145" s="158">
        <f t="shared" ca="1" si="15"/>
        <v>217</v>
      </c>
      <c r="J145" s="233">
        <f ca="1">PROBLEMA!$F$102/(I145/IF(Tipo_Seccion_Ale=$J$17,12^0.5,4))</f>
        <v>73.73271889400921</v>
      </c>
      <c r="K145" s="234">
        <f t="shared" ca="1" si="16"/>
        <v>1.49</v>
      </c>
    </row>
    <row r="146" spans="1:11" x14ac:dyDescent="0.5">
      <c r="A146" s="228">
        <f t="shared" si="11"/>
        <v>23235.219265950109</v>
      </c>
      <c r="B146" s="228">
        <f ca="1">PROBLEMA!$F$84/(E146/IF(Tipo_Seccion_Ale=$J$17,12^0.5,4))</f>
        <v>93.023255813953483</v>
      </c>
      <c r="C146" s="229">
        <f t="shared" ca="1" si="12"/>
        <v>1.85</v>
      </c>
      <c r="D146" s="230">
        <f t="shared" ca="1" si="13"/>
        <v>12559.577981594653</v>
      </c>
      <c r="E146" s="231">
        <f t="shared" si="17"/>
        <v>172</v>
      </c>
      <c r="G146" s="232">
        <f t="shared" ca="1" si="14"/>
        <v>37325.26231730033</v>
      </c>
      <c r="H146" s="158">
        <f ca="1">PROBLEMA!$E$105/G146*K146</f>
        <v>24.734824156134046</v>
      </c>
      <c r="I146" s="158">
        <f t="shared" ca="1" si="15"/>
        <v>218</v>
      </c>
      <c r="J146" s="233">
        <f ca="1">PROBLEMA!$F$102/(I146/IF(Tipo_Seccion_Ale=$J$17,12^0.5,4))</f>
        <v>73.394495412844037</v>
      </c>
      <c r="K146" s="234">
        <f t="shared" ca="1" si="16"/>
        <v>1.49</v>
      </c>
    </row>
    <row r="147" spans="1:11" x14ac:dyDescent="0.5">
      <c r="A147" s="228">
        <f t="shared" si="11"/>
        <v>23506.18163232223</v>
      </c>
      <c r="B147" s="228">
        <f ca="1">PROBLEMA!$F$84/(E147/IF(Tipo_Seccion_Ale=$J$17,12^0.5,4))</f>
        <v>92.48554913294798</v>
      </c>
      <c r="C147" s="229">
        <f t="shared" ca="1" si="12"/>
        <v>1.83</v>
      </c>
      <c r="D147" s="230">
        <f t="shared" ca="1" si="13"/>
        <v>12844.907995804497</v>
      </c>
      <c r="E147" s="231">
        <f t="shared" si="17"/>
        <v>173</v>
      </c>
      <c r="G147" s="232">
        <f t="shared" ca="1" si="14"/>
        <v>37668.481314705015</v>
      </c>
      <c r="H147" s="158">
        <f ca="1">PROBLEMA!$E$105/G147*K147</f>
        <v>24.509451078920673</v>
      </c>
      <c r="I147" s="158">
        <f t="shared" ca="1" si="15"/>
        <v>219</v>
      </c>
      <c r="J147" s="233">
        <f ca="1">PROBLEMA!$F$102/(I147/IF(Tipo_Seccion_Ale=$J$17,12^0.5,4))</f>
        <v>73.05936073059361</v>
      </c>
      <c r="K147" s="234">
        <f t="shared" ca="1" si="16"/>
        <v>1.49</v>
      </c>
    </row>
    <row r="148" spans="1:11" x14ac:dyDescent="0.5">
      <c r="A148" s="228">
        <f t="shared" si="11"/>
        <v>23778.714795021144</v>
      </c>
      <c r="B148" s="228">
        <f ca="1">PROBLEMA!$F$84/(E148/IF(Tipo_Seccion_Ale=$J$17,12^0.5,4))</f>
        <v>91.954022988505741</v>
      </c>
      <c r="C148" s="229">
        <f t="shared" ca="1" si="12"/>
        <v>1.81</v>
      </c>
      <c r="D148" s="230">
        <f t="shared" ca="1" si="13"/>
        <v>13137.411488961958</v>
      </c>
      <c r="E148" s="231">
        <f t="shared" si="17"/>
        <v>174</v>
      </c>
      <c r="G148" s="232">
        <f t="shared" ca="1" si="14"/>
        <v>38013.2711084365</v>
      </c>
      <c r="H148" s="158">
        <f ca="1">PROBLEMA!$E$105/G148*K148</f>
        <v>24.124143312583186</v>
      </c>
      <c r="I148" s="158">
        <f t="shared" ca="1" si="15"/>
        <v>220</v>
      </c>
      <c r="J148" s="233">
        <f ca="1">PROBLEMA!$F$102/(I148/IF(Tipo_Seccion_Ale=$J$17,12^0.5,4))</f>
        <v>72.727272727272734</v>
      </c>
      <c r="K148" s="234">
        <f t="shared" ca="1" si="16"/>
        <v>1.48</v>
      </c>
    </row>
    <row r="149" spans="1:11" x14ac:dyDescent="0.5">
      <c r="A149" s="228">
        <f t="shared" si="11"/>
        <v>24052.818754046853</v>
      </c>
      <c r="B149" s="228">
        <f ca="1">PROBLEMA!$F$84/(E149/IF(Tipo_Seccion_Ale=$J$17,12^0.5,4))</f>
        <v>91.428571428571431</v>
      </c>
      <c r="C149" s="229">
        <f t="shared" ca="1" si="12"/>
        <v>1.81</v>
      </c>
      <c r="D149" s="230">
        <f t="shared" ca="1" si="13"/>
        <v>13288.850140357377</v>
      </c>
      <c r="E149" s="231">
        <f t="shared" si="17"/>
        <v>175</v>
      </c>
      <c r="G149" s="232">
        <f t="shared" ca="1" si="14"/>
        <v>38359.63169849477</v>
      </c>
      <c r="H149" s="158">
        <f ca="1">PROBLEMA!$E$105/G149*K149</f>
        <v>23.906319205770281</v>
      </c>
      <c r="I149" s="158">
        <f t="shared" ca="1" si="15"/>
        <v>221</v>
      </c>
      <c r="J149" s="233">
        <f ca="1">PROBLEMA!$F$102/(I149/IF(Tipo_Seccion_Ale=$J$17,12^0.5,4))</f>
        <v>72.398190045248867</v>
      </c>
      <c r="K149" s="234">
        <f t="shared" ca="1" si="16"/>
        <v>1.48</v>
      </c>
    </row>
    <row r="150" spans="1:11" x14ac:dyDescent="0.5">
      <c r="A150" s="228">
        <f t="shared" si="11"/>
        <v>24328.493509399359</v>
      </c>
      <c r="B150" s="228">
        <f ca="1">PROBLEMA!$F$84/(E150/IF(Tipo_Seccion_Ale=$J$17,12^0.5,4))</f>
        <v>90.909090909090907</v>
      </c>
      <c r="C150" s="229">
        <f t="shared" ca="1" si="12"/>
        <v>1.79</v>
      </c>
      <c r="D150" s="230">
        <f t="shared" ca="1" si="13"/>
        <v>13591.337156089026</v>
      </c>
      <c r="E150" s="231">
        <f t="shared" si="17"/>
        <v>176</v>
      </c>
      <c r="G150" s="232">
        <f t="shared" ca="1" si="14"/>
        <v>38707.563084879839</v>
      </c>
      <c r="H150" s="158">
        <f ca="1">PROBLEMA!$E$105/G150*K150</f>
        <v>23.691432033297346</v>
      </c>
      <c r="I150" s="158">
        <f t="shared" ca="1" si="15"/>
        <v>222</v>
      </c>
      <c r="J150" s="233">
        <f ca="1">PROBLEMA!$F$102/(I150/IF(Tipo_Seccion_Ale=$J$17,12^0.5,4))</f>
        <v>72.072072072072075</v>
      </c>
      <c r="K150" s="234">
        <f t="shared" ca="1" si="16"/>
        <v>1.48</v>
      </c>
    </row>
    <row r="151" spans="1:11" x14ac:dyDescent="0.5">
      <c r="A151" s="228">
        <f t="shared" si="11"/>
        <v>24605.739061078657</v>
      </c>
      <c r="B151" s="228">
        <f ca="1">PROBLEMA!$F$84/(E151/IF(Tipo_Seccion_Ale=$J$17,12^0.5,4))</f>
        <v>90.395480225988706</v>
      </c>
      <c r="C151" s="229">
        <f t="shared" ca="1" si="12"/>
        <v>1.79</v>
      </c>
      <c r="D151" s="230">
        <f t="shared" ca="1" si="13"/>
        <v>13746.222939150088</v>
      </c>
      <c r="E151" s="231">
        <f t="shared" si="17"/>
        <v>177</v>
      </c>
      <c r="G151" s="232">
        <f t="shared" ca="1" si="14"/>
        <v>39057.065267591708</v>
      </c>
      <c r="H151" s="158">
        <f ca="1">PROBLEMA!$E$105/G151*K151</f>
        <v>23.162139648793463</v>
      </c>
      <c r="I151" s="158">
        <f t="shared" ca="1" si="15"/>
        <v>223</v>
      </c>
      <c r="J151" s="233">
        <f ca="1">PROBLEMA!$F$102/(I151/IF(Tipo_Seccion_Ale=$J$17,12^0.5,4))</f>
        <v>71.74887892376681</v>
      </c>
      <c r="K151" s="234">
        <f t="shared" ca="1" si="16"/>
        <v>1.46</v>
      </c>
    </row>
    <row r="152" spans="1:11" x14ac:dyDescent="0.5">
      <c r="A152" s="228">
        <f t="shared" si="11"/>
        <v>24884.555409084751</v>
      </c>
      <c r="B152" s="228">
        <f ca="1">PROBLEMA!$F$84/(E152/IF(Tipo_Seccion_Ale=$J$17,12^0.5,4))</f>
        <v>89.887640449438209</v>
      </c>
      <c r="C152" s="229">
        <f t="shared" ca="1" si="12"/>
        <v>1.77</v>
      </c>
      <c r="D152" s="230">
        <f t="shared" ca="1" si="13"/>
        <v>14059.070852590254</v>
      </c>
      <c r="E152" s="231">
        <f t="shared" si="17"/>
        <v>178</v>
      </c>
      <c r="G152" s="232">
        <f t="shared" ca="1" si="14"/>
        <v>39408.138246630362</v>
      </c>
      <c r="H152" s="158">
        <f ca="1">PROBLEMA!$E$105/G152*K152</f>
        <v>22.95579644839864</v>
      </c>
      <c r="I152" s="158">
        <f t="shared" ca="1" si="15"/>
        <v>224</v>
      </c>
      <c r="J152" s="233">
        <f ca="1">PROBLEMA!$F$102/(I152/IF(Tipo_Seccion_Ale=$J$17,12^0.5,4))</f>
        <v>71.428571428571431</v>
      </c>
      <c r="K152" s="234">
        <f t="shared" ca="1" si="16"/>
        <v>1.46</v>
      </c>
    </row>
    <row r="153" spans="1:11" x14ac:dyDescent="0.5">
      <c r="A153" s="228">
        <f t="shared" si="11"/>
        <v>25164.942553417641</v>
      </c>
      <c r="B153" s="228">
        <f ca="1">PROBLEMA!$F$84/(E153/IF(Tipo_Seccion_Ale=$J$17,12^0.5,4))</f>
        <v>89.385474860335194</v>
      </c>
      <c r="C153" s="229">
        <f t="shared" ca="1" si="12"/>
        <v>1.77</v>
      </c>
      <c r="D153" s="230">
        <f t="shared" ca="1" si="13"/>
        <v>14217.481668597537</v>
      </c>
      <c r="E153" s="231">
        <f t="shared" si="17"/>
        <v>179</v>
      </c>
      <c r="G153" s="232">
        <f t="shared" ca="1" si="14"/>
        <v>39760.782021995816</v>
      </c>
      <c r="H153" s="158">
        <f ca="1">PROBLEMA!$E$105/G153*K153</f>
        <v>22.752198372243956</v>
      </c>
      <c r="I153" s="158">
        <f t="shared" ca="1" si="15"/>
        <v>225</v>
      </c>
      <c r="J153" s="233">
        <f ca="1">PROBLEMA!$F$102/(I153/IF(Tipo_Seccion_Ale=$J$17,12^0.5,4))</f>
        <v>71.111111111111114</v>
      </c>
      <c r="K153" s="234">
        <f t="shared" ca="1" si="16"/>
        <v>1.46</v>
      </c>
    </row>
    <row r="154" spans="1:11" x14ac:dyDescent="0.5">
      <c r="A154" s="228">
        <f t="shared" si="11"/>
        <v>25446.900494077323</v>
      </c>
      <c r="B154" s="228">
        <f ca="1">PROBLEMA!$F$84/(E154/IF(Tipo_Seccion_Ale=$J$17,12^0.5,4))</f>
        <v>88.888888888888886</v>
      </c>
      <c r="C154" s="229">
        <f t="shared" ca="1" si="12"/>
        <v>1.75</v>
      </c>
      <c r="D154" s="230">
        <f t="shared" ca="1" si="13"/>
        <v>14541.085996615613</v>
      </c>
      <c r="E154" s="231">
        <f t="shared" si="17"/>
        <v>180</v>
      </c>
      <c r="G154" s="232">
        <f t="shared" ca="1" si="14"/>
        <v>40114.996593688069</v>
      </c>
      <c r="H154" s="158">
        <f ca="1">PROBLEMA!$E$105/G154*K154</f>
        <v>22.396836003754448</v>
      </c>
      <c r="I154" s="158">
        <f t="shared" ca="1" si="15"/>
        <v>226</v>
      </c>
      <c r="J154" s="233">
        <f ca="1">PROBLEMA!$F$102/(I154/IF(Tipo_Seccion_Ale=$J$17,12^0.5,4))</f>
        <v>70.796460176991147</v>
      </c>
      <c r="K154" s="234">
        <f t="shared" ca="1" si="16"/>
        <v>1.45</v>
      </c>
    </row>
    <row r="155" spans="1:11" x14ac:dyDescent="0.5">
      <c r="A155" s="228">
        <f t="shared" si="11"/>
        <v>25730.429231063805</v>
      </c>
      <c r="B155" s="228">
        <f ca="1">PROBLEMA!$F$84/(E155/IF(Tipo_Seccion_Ale=$J$17,12^0.5,4))</f>
        <v>88.39779005524862</v>
      </c>
      <c r="C155" s="229">
        <f t="shared" ca="1" si="12"/>
        <v>1.75</v>
      </c>
      <c r="D155" s="230">
        <f t="shared" ca="1" si="13"/>
        <v>14703.102417750746</v>
      </c>
      <c r="E155" s="231">
        <f t="shared" si="17"/>
        <v>181</v>
      </c>
      <c r="G155" s="232">
        <f t="shared" ca="1" si="14"/>
        <v>40470.781961707115</v>
      </c>
      <c r="H155" s="158">
        <f ca="1">PROBLEMA!$E$105/G155*K155</f>
        <v>22.199941697447304</v>
      </c>
      <c r="I155" s="158">
        <f t="shared" ca="1" si="15"/>
        <v>227</v>
      </c>
      <c r="J155" s="233">
        <f ca="1">PROBLEMA!$F$102/(I155/IF(Tipo_Seccion_Ale=$J$17,12^0.5,4))</f>
        <v>70.48458149779735</v>
      </c>
      <c r="K155" s="234">
        <f t="shared" ca="1" si="16"/>
        <v>1.45</v>
      </c>
    </row>
    <row r="156" spans="1:11" x14ac:dyDescent="0.5">
      <c r="A156" s="228">
        <f t="shared" si="11"/>
        <v>26015.528764377075</v>
      </c>
      <c r="B156" s="228">
        <f ca="1">PROBLEMA!$F$84/(E156/IF(Tipo_Seccion_Ale=$J$17,12^0.5,4))</f>
        <v>87.912087912087912</v>
      </c>
      <c r="C156" s="229">
        <f t="shared" ca="1" si="12"/>
        <v>1.73</v>
      </c>
      <c r="D156" s="230">
        <f t="shared" ca="1" si="13"/>
        <v>15037.877898483859</v>
      </c>
      <c r="E156" s="231">
        <f t="shared" si="17"/>
        <v>182</v>
      </c>
      <c r="G156" s="232">
        <f t="shared" ca="1" si="14"/>
        <v>40828.138126052952</v>
      </c>
      <c r="H156" s="158">
        <f ca="1">PROBLEMA!$E$105/G156*K156</f>
        <v>22.005632420124694</v>
      </c>
      <c r="I156" s="158">
        <f t="shared" ca="1" si="15"/>
        <v>228</v>
      </c>
      <c r="J156" s="233">
        <f ca="1">PROBLEMA!$F$102/(I156/IF(Tipo_Seccion_Ale=$J$17,12^0.5,4))</f>
        <v>70.175438596491233</v>
      </c>
      <c r="K156" s="234">
        <f t="shared" ca="1" si="16"/>
        <v>1.45</v>
      </c>
    </row>
    <row r="157" spans="1:11" x14ac:dyDescent="0.5">
      <c r="A157" s="228">
        <f t="shared" si="11"/>
        <v>26302.199094017145</v>
      </c>
      <c r="B157" s="228">
        <f ca="1">PROBLEMA!$F$84/(E157/IF(Tipo_Seccion_Ale=$J$17,12^0.5,4))</f>
        <v>87.431693989071036</v>
      </c>
      <c r="C157" s="229">
        <f t="shared" ca="1" si="12"/>
        <v>1.73</v>
      </c>
      <c r="D157" s="230">
        <f t="shared" ca="1" si="13"/>
        <v>15203.58329133939</v>
      </c>
      <c r="E157" s="231">
        <f t="shared" si="17"/>
        <v>183</v>
      </c>
      <c r="G157" s="232">
        <f t="shared" ca="1" si="14"/>
        <v>41187.065086725583</v>
      </c>
      <c r="H157" s="158">
        <f ca="1">PROBLEMA!$E$105/G157*K157</f>
        <v>21.663422681883912</v>
      </c>
      <c r="I157" s="158">
        <f t="shared" ca="1" si="15"/>
        <v>229</v>
      </c>
      <c r="J157" s="233">
        <f ca="1">PROBLEMA!$F$102/(I157/IF(Tipo_Seccion_Ale=$J$17,12^0.5,4))</f>
        <v>69.86899563318778</v>
      </c>
      <c r="K157" s="234">
        <f t="shared" ca="1" si="16"/>
        <v>1.44</v>
      </c>
    </row>
    <row r="158" spans="1:11" x14ac:dyDescent="0.5">
      <c r="A158" s="228">
        <f t="shared" si="11"/>
        <v>26590.440219984008</v>
      </c>
      <c r="B158" s="228">
        <f ca="1">PROBLEMA!$F$84/(E158/IF(Tipo_Seccion_Ale=$J$17,12^0.5,4))</f>
        <v>86.956521739130437</v>
      </c>
      <c r="C158" s="229">
        <f t="shared" ca="1" si="12"/>
        <v>1.71</v>
      </c>
      <c r="D158" s="230">
        <f t="shared" ca="1" si="13"/>
        <v>15549.965040926321</v>
      </c>
      <c r="E158" s="231">
        <f t="shared" si="17"/>
        <v>184</v>
      </c>
      <c r="G158" s="232">
        <f t="shared" ca="1" si="14"/>
        <v>41547.562843725012</v>
      </c>
      <c r="H158" s="158">
        <f ca="1">PROBLEMA!$E$105/G158*K158</f>
        <v>21.475454609842615</v>
      </c>
      <c r="I158" s="158">
        <f t="shared" ca="1" si="15"/>
        <v>230</v>
      </c>
      <c r="J158" s="233">
        <f ca="1">PROBLEMA!$F$102/(I158/IF(Tipo_Seccion_Ale=$J$17,12^0.5,4))</f>
        <v>69.565217391304344</v>
      </c>
      <c r="K158" s="234">
        <f t="shared" ca="1" si="16"/>
        <v>1.44</v>
      </c>
    </row>
    <row r="159" spans="1:11" x14ac:dyDescent="0.5">
      <c r="A159" s="228">
        <f t="shared" si="11"/>
        <v>26880.252142277666</v>
      </c>
      <c r="B159" s="228">
        <f ca="1">PROBLEMA!$F$84/(E159/IF(Tipo_Seccion_Ale=$J$17,12^0.5,4))</f>
        <v>86.486486486486484</v>
      </c>
      <c r="C159" s="229">
        <f t="shared" ca="1" si="12"/>
        <v>1.71</v>
      </c>
      <c r="D159" s="230">
        <f t="shared" ca="1" si="13"/>
        <v>15719.445697238401</v>
      </c>
      <c r="E159" s="231">
        <f t="shared" si="17"/>
        <v>185</v>
      </c>
      <c r="G159" s="232">
        <f t="shared" ca="1" si="14"/>
        <v>41909.631397051235</v>
      </c>
      <c r="H159" s="158">
        <f ca="1">PROBLEMA!$E$105/G159*K159</f>
        <v>21.289922393895811</v>
      </c>
      <c r="I159" s="158">
        <f t="shared" ca="1" si="15"/>
        <v>231</v>
      </c>
      <c r="J159" s="233">
        <f ca="1">PROBLEMA!$F$102/(I159/IF(Tipo_Seccion_Ale=$J$17,12^0.5,4))</f>
        <v>69.264069264069263</v>
      </c>
      <c r="K159" s="234">
        <f t="shared" ca="1" si="16"/>
        <v>1.44</v>
      </c>
    </row>
    <row r="160" spans="1:11" x14ac:dyDescent="0.5">
      <c r="A160" s="228">
        <f t="shared" si="11"/>
        <v>27171.634860898121</v>
      </c>
      <c r="B160" s="228">
        <f ca="1">PROBLEMA!$F$84/(E160/IF(Tipo_Seccion_Ale=$J$17,12^0.5,4))</f>
        <v>86.021505376344081</v>
      </c>
      <c r="C160" s="229">
        <f t="shared" ca="1" si="12"/>
        <v>1.71</v>
      </c>
      <c r="D160" s="230">
        <f t="shared" ca="1" si="13"/>
        <v>15889.844947893638</v>
      </c>
      <c r="E160" s="231">
        <f t="shared" si="17"/>
        <v>186</v>
      </c>
      <c r="G160" s="232">
        <f t="shared" ca="1" si="14"/>
        <v>42273.270746704256</v>
      </c>
      <c r="H160" s="158">
        <f ca="1">PROBLEMA!$E$105/G160*K160</f>
        <v>20.813634347623701</v>
      </c>
      <c r="I160" s="158">
        <f t="shared" ca="1" si="15"/>
        <v>232</v>
      </c>
      <c r="J160" s="233">
        <f ca="1">PROBLEMA!$F$102/(I160/IF(Tipo_Seccion_Ale=$J$17,12^0.5,4))</f>
        <v>68.965517241379317</v>
      </c>
      <c r="K160" s="234">
        <f t="shared" ca="1" si="16"/>
        <v>1.42</v>
      </c>
    </row>
    <row r="161" spans="1:11" x14ac:dyDescent="0.5">
      <c r="A161" s="228">
        <f t="shared" si="11"/>
        <v>27464.588375845367</v>
      </c>
      <c r="B161" s="228">
        <f ca="1">PROBLEMA!$F$84/(E161/IF(Tipo_Seccion_Ale=$J$17,12^0.5,4))</f>
        <v>85.561497326203209</v>
      </c>
      <c r="C161" s="229">
        <f t="shared" ca="1" si="12"/>
        <v>1.69</v>
      </c>
      <c r="D161" s="230">
        <f t="shared" ca="1" si="13"/>
        <v>16251.23572535229</v>
      </c>
      <c r="E161" s="231">
        <f t="shared" si="17"/>
        <v>187</v>
      </c>
      <c r="G161" s="232">
        <f t="shared" ca="1" si="14"/>
        <v>42638.480892684071</v>
      </c>
      <c r="H161" s="158">
        <f ca="1">PROBLEMA!$E$105/G161*K161</f>
        <v>20.635359927913537</v>
      </c>
      <c r="I161" s="158">
        <f t="shared" ca="1" si="15"/>
        <v>233</v>
      </c>
      <c r="J161" s="233">
        <f ca="1">PROBLEMA!$F$102/(I161/IF(Tipo_Seccion_Ale=$J$17,12^0.5,4))</f>
        <v>68.669527896995703</v>
      </c>
      <c r="K161" s="234">
        <f t="shared" ca="1" si="16"/>
        <v>1.42</v>
      </c>
    </row>
    <row r="162" spans="1:11" x14ac:dyDescent="0.5">
      <c r="A162" s="228">
        <f t="shared" si="11"/>
        <v>27759.112687119414</v>
      </c>
      <c r="B162" s="228">
        <f ca="1">PROBLEMA!$F$84/(E162/IF(Tipo_Seccion_Ale=$J$17,12^0.5,4))</f>
        <v>85.106382978723403</v>
      </c>
      <c r="C162" s="229">
        <f t="shared" ca="1" si="12"/>
        <v>1.69</v>
      </c>
      <c r="D162" s="230">
        <f t="shared" ca="1" si="13"/>
        <v>16425.510465751133</v>
      </c>
      <c r="E162" s="231">
        <f t="shared" si="17"/>
        <v>188</v>
      </c>
      <c r="G162" s="232">
        <f t="shared" ca="1" si="14"/>
        <v>43005.261834990677</v>
      </c>
      <c r="H162" s="158">
        <f ca="1">PROBLEMA!$E$105/G162*K162</f>
        <v>20.459366190490506</v>
      </c>
      <c r="I162" s="158">
        <f t="shared" ca="1" si="15"/>
        <v>234</v>
      </c>
      <c r="J162" s="233">
        <f ca="1">PROBLEMA!$F$102/(I162/IF(Tipo_Seccion_Ale=$J$17,12^0.5,4))</f>
        <v>68.376068376068375</v>
      </c>
      <c r="K162" s="234">
        <f t="shared" ca="1" si="16"/>
        <v>1.42</v>
      </c>
    </row>
    <row r="163" spans="1:11" x14ac:dyDescent="0.5">
      <c r="A163" s="228">
        <f t="shared" si="11"/>
        <v>28055.207794720249</v>
      </c>
      <c r="B163" s="228">
        <f ca="1">PROBLEMA!$F$84/(E163/IF(Tipo_Seccion_Ale=$J$17,12^0.5,4))</f>
        <v>84.656084656084658</v>
      </c>
      <c r="C163" s="229">
        <f t="shared" ca="1" si="12"/>
        <v>1.68</v>
      </c>
      <c r="D163" s="230">
        <f t="shared" ca="1" si="13"/>
        <v>16699.528449238245</v>
      </c>
      <c r="E163" s="231">
        <f t="shared" si="17"/>
        <v>189</v>
      </c>
      <c r="G163" s="232">
        <f t="shared" ca="1" si="14"/>
        <v>43373.613573624083</v>
      </c>
      <c r="H163" s="158">
        <f ca="1">PROBLEMA!$E$105/G163*K163</f>
        <v>20.285614397944737</v>
      </c>
      <c r="I163" s="158">
        <f t="shared" ca="1" si="15"/>
        <v>235</v>
      </c>
      <c r="J163" s="233">
        <f ca="1">PROBLEMA!$F$102/(I163/IF(Tipo_Seccion_Ale=$J$17,12^0.5,4))</f>
        <v>68.085106382978722</v>
      </c>
      <c r="K163" s="234">
        <f t="shared" ca="1" si="16"/>
        <v>1.42</v>
      </c>
    </row>
    <row r="164" spans="1:11" x14ac:dyDescent="0.5">
      <c r="A164" s="228">
        <f t="shared" si="11"/>
        <v>28352.873698647883</v>
      </c>
      <c r="B164" s="228">
        <f ca="1">PROBLEMA!$F$84/(E164/IF(Tipo_Seccion_Ale=$J$17,12^0.5,4))</f>
        <v>84.21052631578948</v>
      </c>
      <c r="C164" s="229">
        <f t="shared" ca="1" si="12"/>
        <v>1.68</v>
      </c>
      <c r="D164" s="230">
        <f t="shared" ca="1" si="13"/>
        <v>16876.710534909456</v>
      </c>
      <c r="E164" s="231">
        <f t="shared" si="17"/>
        <v>190</v>
      </c>
      <c r="G164" s="232">
        <f t="shared" ca="1" si="14"/>
        <v>43743.536108584281</v>
      </c>
      <c r="H164" s="158">
        <f ca="1">PROBLEMA!$E$105/G164*K164</f>
        <v>19.972418275269501</v>
      </c>
      <c r="I164" s="158">
        <f t="shared" ca="1" si="15"/>
        <v>236</v>
      </c>
      <c r="J164" s="233">
        <f ca="1">PROBLEMA!$F$102/(I164/IF(Tipo_Seccion_Ale=$J$17,12^0.5,4))</f>
        <v>67.79661016949153</v>
      </c>
      <c r="K164" s="234">
        <f t="shared" ca="1" si="16"/>
        <v>1.41</v>
      </c>
    </row>
    <row r="165" spans="1:11" x14ac:dyDescent="0.5">
      <c r="A165" s="228">
        <f t="shared" si="11"/>
        <v>28652.11039890231</v>
      </c>
      <c r="B165" s="228">
        <f ca="1">PROBLEMA!$F$84/(E165/IF(Tipo_Seccion_Ale=$J$17,12^0.5,4))</f>
        <v>83.769633507853399</v>
      </c>
      <c r="C165" s="229">
        <f t="shared" ca="1" si="12"/>
        <v>1.66</v>
      </c>
      <c r="D165" s="230">
        <f t="shared" ca="1" si="13"/>
        <v>17260.30746921826</v>
      </c>
      <c r="E165" s="231">
        <f t="shared" si="17"/>
        <v>191</v>
      </c>
      <c r="G165" s="232">
        <f t="shared" ca="1" si="14"/>
        <v>44115.029439871272</v>
      </c>
      <c r="H165" s="158">
        <f ca="1">PROBLEMA!$E$105/G165*K165</f>
        <v>19.804230238377219</v>
      </c>
      <c r="I165" s="158">
        <f t="shared" ca="1" si="15"/>
        <v>237</v>
      </c>
      <c r="J165" s="233">
        <f ca="1">PROBLEMA!$F$102/(I165/IF(Tipo_Seccion_Ale=$J$17,12^0.5,4))</f>
        <v>67.510548523206751</v>
      </c>
      <c r="K165" s="234">
        <f t="shared" ca="1" si="16"/>
        <v>1.41</v>
      </c>
    </row>
    <row r="166" spans="1:11" x14ac:dyDescent="0.5">
      <c r="A166" s="228">
        <f t="shared" ref="A166:A229" si="18">E166^2*IF(Tipo_Seccion_Ale=$J$17,1,PI()/4)</f>
        <v>28952.917895483533</v>
      </c>
      <c r="B166" s="228">
        <f ca="1">PROBLEMA!$F$84/(E166/IF(Tipo_Seccion_Ale=$J$17,12^0.5,4))</f>
        <v>83.333333333333329</v>
      </c>
      <c r="C166" s="229">
        <f t="shared" ref="C166:C229" ca="1" si="19">IFERROR(VLOOKUP(ROUNDUP(B166,0),Coef_w,Tipo_Ale+1),1)</f>
        <v>1.66</v>
      </c>
      <c r="D166" s="230">
        <f t="shared" ref="D166:D229" ca="1" si="20">A166/C166</f>
        <v>17441.516804508152</v>
      </c>
      <c r="E166" s="231">
        <f t="shared" si="17"/>
        <v>192</v>
      </c>
      <c r="G166" s="232">
        <f t="shared" ref="G166:G229" ca="1" si="21">I166^2*IF(Tipo_Seccion_Ale=$J$17,1,PI()/4)</f>
        <v>44488.093567485063</v>
      </c>
      <c r="H166" s="158">
        <f ca="1">PROBLEMA!$E$105/G166*K166</f>
        <v>19.638157761800191</v>
      </c>
      <c r="I166" s="158">
        <f t="shared" ref="I166:I229" ca="1" si="22">$I$36+ROW()-36</f>
        <v>238</v>
      </c>
      <c r="J166" s="233">
        <f ca="1">PROBLEMA!$F$102/(I166/IF(Tipo_Seccion_Ale=$J$17,12^0.5,4))</f>
        <v>67.226890756302524</v>
      </c>
      <c r="K166" s="234">
        <f t="shared" ref="K166:K229" ca="1" si="23">IFERROR(VLOOKUP(ROUNDUP(J166,0),Coef_w,Tipo_Ale+1),1)</f>
        <v>1.41</v>
      </c>
    </row>
    <row r="167" spans="1:11" x14ac:dyDescent="0.5">
      <c r="A167" s="228">
        <f t="shared" si="18"/>
        <v>29255.296188391552</v>
      </c>
      <c r="B167" s="228">
        <f ca="1">PROBLEMA!$F$84/(E167/IF(Tipo_Seccion_Ale=$J$17,12^0.5,4))</f>
        <v>82.901554404145074</v>
      </c>
      <c r="C167" s="229">
        <f t="shared" ca="1" si="19"/>
        <v>1.64</v>
      </c>
      <c r="D167" s="230">
        <f t="shared" ca="1" si="20"/>
        <v>17838.59523682412</v>
      </c>
      <c r="E167" s="231">
        <f t="shared" ref="E167:E230" si="24">E166+1</f>
        <v>193</v>
      </c>
      <c r="G167" s="232">
        <f t="shared" ca="1" si="21"/>
        <v>44862.728491425645</v>
      </c>
      <c r="H167" s="158">
        <f ca="1">PROBLEMA!$E$105/G167*K167</f>
        <v>19.336050863821047</v>
      </c>
      <c r="I167" s="158">
        <f t="shared" ca="1" si="22"/>
        <v>239</v>
      </c>
      <c r="J167" s="233">
        <f ca="1">PROBLEMA!$F$102/(I167/IF(Tipo_Seccion_Ale=$J$17,12^0.5,4))</f>
        <v>66.945606694560666</v>
      </c>
      <c r="K167" s="234">
        <f t="shared" ca="1" si="23"/>
        <v>1.4</v>
      </c>
    </row>
    <row r="168" spans="1:11" x14ac:dyDescent="0.5">
      <c r="A168" s="228">
        <f t="shared" si="18"/>
        <v>29559.245277626364</v>
      </c>
      <c r="B168" s="228">
        <f ca="1">PROBLEMA!$F$84/(E168/IF(Tipo_Seccion_Ale=$J$17,12^0.5,4))</f>
        <v>82.474226804123717</v>
      </c>
      <c r="C168" s="229">
        <f t="shared" ca="1" si="19"/>
        <v>1.64</v>
      </c>
      <c r="D168" s="230">
        <f t="shared" ca="1" si="20"/>
        <v>18023.93004733315</v>
      </c>
      <c r="E168" s="231">
        <f t="shared" si="24"/>
        <v>194</v>
      </c>
      <c r="G168" s="232">
        <f t="shared" ca="1" si="21"/>
        <v>45238.93421169302</v>
      </c>
      <c r="H168" s="158">
        <f ca="1">PROBLEMA!$E$105/G168*K168</f>
        <v>19.175252801950037</v>
      </c>
      <c r="I168" s="158">
        <f t="shared" ca="1" si="22"/>
        <v>240</v>
      </c>
      <c r="J168" s="233">
        <f ca="1">PROBLEMA!$F$102/(I168/IF(Tipo_Seccion_Ale=$J$17,12^0.5,4))</f>
        <v>66.666666666666671</v>
      </c>
      <c r="K168" s="234">
        <f t="shared" ca="1" si="23"/>
        <v>1.4</v>
      </c>
    </row>
    <row r="169" spans="1:11" x14ac:dyDescent="0.5">
      <c r="A169" s="228">
        <f t="shared" si="18"/>
        <v>29864.765163187971</v>
      </c>
      <c r="B169" s="228">
        <f ca="1">PROBLEMA!$F$84/(E169/IF(Tipo_Seccion_Ale=$J$17,12^0.5,4))</f>
        <v>82.051282051282058</v>
      </c>
      <c r="C169" s="229">
        <f t="shared" ca="1" si="19"/>
        <v>1.64</v>
      </c>
      <c r="D169" s="230">
        <f t="shared" ca="1" si="20"/>
        <v>18210.222660480471</v>
      </c>
      <c r="E169" s="231">
        <f t="shared" si="24"/>
        <v>195</v>
      </c>
      <c r="G169" s="232">
        <f t="shared" ca="1" si="21"/>
        <v>45616.710728287195</v>
      </c>
      <c r="H169" s="158">
        <f ca="1">PROBLEMA!$E$105/G169*K169</f>
        <v>19.016452220043078</v>
      </c>
      <c r="I169" s="158">
        <f t="shared" ca="1" si="22"/>
        <v>241</v>
      </c>
      <c r="J169" s="233">
        <f ca="1">PROBLEMA!$F$102/(I169/IF(Tipo_Seccion_Ale=$J$17,12^0.5,4))</f>
        <v>66.390041493775939</v>
      </c>
      <c r="K169" s="234">
        <f t="shared" ca="1" si="23"/>
        <v>1.4</v>
      </c>
    </row>
    <row r="170" spans="1:11" x14ac:dyDescent="0.5">
      <c r="A170" s="228">
        <f t="shared" si="18"/>
        <v>30171.855845076374</v>
      </c>
      <c r="B170" s="228">
        <f ca="1">PROBLEMA!$F$84/(E170/IF(Tipo_Seccion_Ale=$J$17,12^0.5,4))</f>
        <v>81.632653061224488</v>
      </c>
      <c r="C170" s="229">
        <f t="shared" ca="1" si="19"/>
        <v>1.62</v>
      </c>
      <c r="D170" s="230">
        <f t="shared" ca="1" si="20"/>
        <v>18624.602373503934</v>
      </c>
      <c r="E170" s="231">
        <f t="shared" si="24"/>
        <v>196</v>
      </c>
      <c r="G170" s="232">
        <f t="shared" ca="1" si="21"/>
        <v>45996.058041208162</v>
      </c>
      <c r="H170" s="158">
        <f ca="1">PROBLEMA!$E$105/G170*K170</f>
        <v>18.859616170212451</v>
      </c>
      <c r="I170" s="158">
        <f t="shared" ca="1" si="22"/>
        <v>242</v>
      </c>
      <c r="J170" s="233">
        <f ca="1">PROBLEMA!$F$102/(I170/IF(Tipo_Seccion_Ale=$J$17,12^0.5,4))</f>
        <v>66.115702479338836</v>
      </c>
      <c r="K170" s="234">
        <f t="shared" ca="1" si="23"/>
        <v>1.4</v>
      </c>
    </row>
    <row r="171" spans="1:11" x14ac:dyDescent="0.5">
      <c r="A171" s="228">
        <f t="shared" si="18"/>
        <v>30480.517323291569</v>
      </c>
      <c r="B171" s="228">
        <f ca="1">PROBLEMA!$F$84/(E171/IF(Tipo_Seccion_Ale=$J$17,12^0.5,4))</f>
        <v>81.218274111675129</v>
      </c>
      <c r="C171" s="229">
        <f t="shared" ca="1" si="19"/>
        <v>1.62</v>
      </c>
      <c r="D171" s="230">
        <f t="shared" ca="1" si="20"/>
        <v>18815.13415017998</v>
      </c>
      <c r="E171" s="231">
        <f t="shared" si="24"/>
        <v>197</v>
      </c>
      <c r="G171" s="232">
        <f t="shared" ca="1" si="21"/>
        <v>46376.976150455921</v>
      </c>
      <c r="H171" s="158">
        <f ca="1">PROBLEMA!$E$105/G171*K171</f>
        <v>18.437502204239632</v>
      </c>
      <c r="I171" s="158">
        <f t="shared" ca="1" si="22"/>
        <v>243</v>
      </c>
      <c r="J171" s="233">
        <f ca="1">PROBLEMA!$F$102/(I171/IF(Tipo_Seccion_Ale=$J$17,12^0.5,4))</f>
        <v>65.843621399176953</v>
      </c>
      <c r="K171" s="234">
        <f t="shared" ca="1" si="23"/>
        <v>1.38</v>
      </c>
    </row>
    <row r="172" spans="1:11" x14ac:dyDescent="0.5">
      <c r="A172" s="228">
        <f t="shared" si="18"/>
        <v>30790.749597833561</v>
      </c>
      <c r="B172" s="228">
        <f ca="1">PROBLEMA!$F$84/(E172/IF(Tipo_Seccion_Ale=$J$17,12^0.5,4))</f>
        <v>80.808080808080803</v>
      </c>
      <c r="C172" s="229">
        <f t="shared" ca="1" si="19"/>
        <v>1.61</v>
      </c>
      <c r="D172" s="230">
        <f t="shared" ca="1" si="20"/>
        <v>19124.689191200967</v>
      </c>
      <c r="E172" s="231">
        <f t="shared" si="24"/>
        <v>198</v>
      </c>
      <c r="G172" s="232">
        <f t="shared" ca="1" si="21"/>
        <v>46759.46505603048</v>
      </c>
      <c r="H172" s="158">
        <f ca="1">PROBLEMA!$E$105/G172*K172</f>
        <v>18.286684823604979</v>
      </c>
      <c r="I172" s="158">
        <f t="shared" ca="1" si="22"/>
        <v>244</v>
      </c>
      <c r="J172" s="233">
        <f ca="1">PROBLEMA!$F$102/(I172/IF(Tipo_Seccion_Ale=$J$17,12^0.5,4))</f>
        <v>65.573770491803273</v>
      </c>
      <c r="K172" s="234">
        <f t="shared" ca="1" si="23"/>
        <v>1.38</v>
      </c>
    </row>
    <row r="173" spans="1:11" x14ac:dyDescent="0.5">
      <c r="A173" s="228">
        <f t="shared" si="18"/>
        <v>31102.552668702348</v>
      </c>
      <c r="B173" s="228">
        <f ca="1">PROBLEMA!$F$84/(E173/IF(Tipo_Seccion_Ale=$J$17,12^0.5,4))</f>
        <v>80.402010050251263</v>
      </c>
      <c r="C173" s="229">
        <f t="shared" ca="1" si="19"/>
        <v>1.61</v>
      </c>
      <c r="D173" s="230">
        <f t="shared" ca="1" si="20"/>
        <v>19318.355694846177</v>
      </c>
      <c r="E173" s="231">
        <f t="shared" si="24"/>
        <v>199</v>
      </c>
      <c r="G173" s="232">
        <f t="shared" ca="1" si="21"/>
        <v>47143.524757931831</v>
      </c>
      <c r="H173" s="158">
        <f ca="1">PROBLEMA!$E$105/G173*K173</f>
        <v>18.137710414962868</v>
      </c>
      <c r="I173" s="158">
        <f t="shared" ca="1" si="22"/>
        <v>245</v>
      </c>
      <c r="J173" s="233">
        <f ca="1">PROBLEMA!$F$102/(I173/IF(Tipo_Seccion_Ale=$J$17,12^0.5,4))</f>
        <v>65.306122448979593</v>
      </c>
      <c r="K173" s="234">
        <f t="shared" ca="1" si="23"/>
        <v>1.38</v>
      </c>
    </row>
    <row r="174" spans="1:11" x14ac:dyDescent="0.5">
      <c r="A174" s="228">
        <f t="shared" si="18"/>
        <v>31415.926535897932</v>
      </c>
      <c r="B174" s="228">
        <f ca="1">PROBLEMA!$F$84/(E174/IF(Tipo_Seccion_Ale=$J$17,12^0.5,4))</f>
        <v>80</v>
      </c>
      <c r="C174" s="229">
        <f t="shared" ca="1" si="19"/>
        <v>1.59</v>
      </c>
      <c r="D174" s="230">
        <f t="shared" ca="1" si="20"/>
        <v>19758.444362199956</v>
      </c>
      <c r="E174" s="231">
        <f t="shared" si="24"/>
        <v>200</v>
      </c>
      <c r="G174" s="232">
        <f t="shared" ca="1" si="21"/>
        <v>47529.155256159982</v>
      </c>
      <c r="H174" s="158">
        <f ca="1">PROBLEMA!$E$105/G174*K174</f>
        <v>17.990549072280817</v>
      </c>
      <c r="I174" s="158">
        <f t="shared" ca="1" si="22"/>
        <v>246</v>
      </c>
      <c r="J174" s="233">
        <f ca="1">PROBLEMA!$F$102/(I174/IF(Tipo_Seccion_Ale=$J$17,12^0.5,4))</f>
        <v>65.040650406504071</v>
      </c>
      <c r="K174" s="234">
        <f t="shared" ca="1" si="23"/>
        <v>1.38</v>
      </c>
    </row>
    <row r="175" spans="1:11" x14ac:dyDescent="0.5">
      <c r="A175" s="228">
        <f t="shared" si="18"/>
        <v>31730.871199420308</v>
      </c>
      <c r="B175" s="228">
        <f ca="1">PROBLEMA!$F$84/(E175/IF(Tipo_Seccion_Ale=$J$17,12^0.5,4))</f>
        <v>79.601990049751237</v>
      </c>
      <c r="C175" s="229">
        <f t="shared" ca="1" si="19"/>
        <v>1.59</v>
      </c>
      <c r="D175" s="230">
        <f t="shared" ca="1" si="20"/>
        <v>19956.522766931012</v>
      </c>
      <c r="E175" s="231">
        <f t="shared" si="24"/>
        <v>201</v>
      </c>
      <c r="G175" s="232">
        <f t="shared" ca="1" si="21"/>
        <v>47916.356550714925</v>
      </c>
      <c r="H175" s="158">
        <f ca="1">PROBLEMA!$E$105/G175*K175</f>
        <v>17.715858656772905</v>
      </c>
      <c r="I175" s="158">
        <f t="shared" ca="1" si="22"/>
        <v>247</v>
      </c>
      <c r="J175" s="233">
        <f ca="1">PROBLEMA!$F$102/(I175/IF(Tipo_Seccion_Ale=$J$17,12^0.5,4))</f>
        <v>64.777327935222672</v>
      </c>
      <c r="K175" s="234">
        <f t="shared" ca="1" si="23"/>
        <v>1.37</v>
      </c>
    </row>
    <row r="176" spans="1:11" x14ac:dyDescent="0.5">
      <c r="A176" s="228">
        <f t="shared" si="18"/>
        <v>32047.386659269479</v>
      </c>
      <c r="B176" s="228">
        <f ca="1">PROBLEMA!$F$84/(E176/IF(Tipo_Seccion_Ale=$J$17,12^0.5,4))</f>
        <v>79.207920792079207</v>
      </c>
      <c r="C176" s="229">
        <f t="shared" ca="1" si="19"/>
        <v>1.59</v>
      </c>
      <c r="D176" s="230">
        <f t="shared" ca="1" si="20"/>
        <v>20155.589093880175</v>
      </c>
      <c r="E176" s="231">
        <f t="shared" si="24"/>
        <v>202</v>
      </c>
      <c r="G176" s="232">
        <f t="shared" ca="1" si="21"/>
        <v>48305.128641596661</v>
      </c>
      <c r="H176" s="158">
        <f ca="1">PROBLEMA!$E$105/G176*K176</f>
        <v>17.573276872903524</v>
      </c>
      <c r="I176" s="158">
        <f t="shared" ca="1" si="22"/>
        <v>248</v>
      </c>
      <c r="J176" s="233">
        <f ca="1">PROBLEMA!$F$102/(I176/IF(Tipo_Seccion_Ale=$J$17,12^0.5,4))</f>
        <v>64.516129032258064</v>
      </c>
      <c r="K176" s="234">
        <f t="shared" ca="1" si="23"/>
        <v>1.37</v>
      </c>
    </row>
    <row r="177" spans="1:11" x14ac:dyDescent="0.5">
      <c r="A177" s="228">
        <f t="shared" si="18"/>
        <v>32365.472915445447</v>
      </c>
      <c r="B177" s="228">
        <f ca="1">PROBLEMA!$F$84/(E177/IF(Tipo_Seccion_Ale=$J$17,12^0.5,4))</f>
        <v>78.817733990147786</v>
      </c>
      <c r="C177" s="229">
        <f t="shared" ca="1" si="19"/>
        <v>1.57</v>
      </c>
      <c r="D177" s="230">
        <f t="shared" ca="1" si="20"/>
        <v>20614.950901557608</v>
      </c>
      <c r="E177" s="231">
        <f t="shared" si="24"/>
        <v>203</v>
      </c>
      <c r="G177" s="232">
        <f t="shared" ca="1" si="21"/>
        <v>48695.471528805188</v>
      </c>
      <c r="H177" s="158">
        <f ca="1">PROBLEMA!$E$105/G177*K177</f>
        <v>17.432409490025293</v>
      </c>
      <c r="I177" s="158">
        <f t="shared" ca="1" si="22"/>
        <v>249</v>
      </c>
      <c r="J177" s="233">
        <f ca="1">PROBLEMA!$F$102/(I177/IF(Tipo_Seccion_Ale=$J$17,12^0.5,4))</f>
        <v>64.257028112449802</v>
      </c>
      <c r="K177" s="234">
        <f t="shared" ca="1" si="23"/>
        <v>1.37</v>
      </c>
    </row>
    <row r="178" spans="1:11" x14ac:dyDescent="0.5">
      <c r="A178" s="228">
        <f t="shared" si="18"/>
        <v>32685.129967948207</v>
      </c>
      <c r="B178" s="228">
        <f ca="1">PROBLEMA!$F$84/(E178/IF(Tipo_Seccion_Ale=$J$17,12^0.5,4))</f>
        <v>78.431372549019613</v>
      </c>
      <c r="C178" s="229">
        <f t="shared" ca="1" si="19"/>
        <v>1.57</v>
      </c>
      <c r="D178" s="230">
        <f t="shared" ca="1" si="20"/>
        <v>20818.554119712233</v>
      </c>
      <c r="E178" s="231">
        <f t="shared" si="24"/>
        <v>204</v>
      </c>
      <c r="G178" s="232">
        <f t="shared" ca="1" si="21"/>
        <v>49087.385212340516</v>
      </c>
      <c r="H178" s="158">
        <f ca="1">PROBLEMA!$E$105/G178*K178</f>
        <v>17.167001182783522</v>
      </c>
      <c r="I178" s="158">
        <f t="shared" ca="1" si="22"/>
        <v>250</v>
      </c>
      <c r="J178" s="233">
        <f ca="1">PROBLEMA!$F$102/(I178/IF(Tipo_Seccion_Ale=$J$17,12^0.5,4))</f>
        <v>64</v>
      </c>
      <c r="K178" s="234">
        <f t="shared" ca="1" si="23"/>
        <v>1.36</v>
      </c>
    </row>
    <row r="179" spans="1:11" x14ac:dyDescent="0.5">
      <c r="A179" s="228">
        <f t="shared" si="18"/>
        <v>33006.357816777767</v>
      </c>
      <c r="B179" s="228">
        <f ca="1">PROBLEMA!$F$84/(E179/IF(Tipo_Seccion_Ale=$J$17,12^0.5,4))</f>
        <v>78.048780487804876</v>
      </c>
      <c r="C179" s="229">
        <f t="shared" ca="1" si="19"/>
        <v>1.57</v>
      </c>
      <c r="D179" s="230">
        <f t="shared" ca="1" si="20"/>
        <v>21023.157845081379</v>
      </c>
      <c r="E179" s="231">
        <f t="shared" si="24"/>
        <v>205</v>
      </c>
      <c r="G179" s="232">
        <f t="shared" ca="1" si="21"/>
        <v>49480.869692202636</v>
      </c>
      <c r="H179" s="158">
        <f ca="1">PROBLEMA!$E$105/G179*K179</f>
        <v>17.030484816494504</v>
      </c>
      <c r="I179" s="158">
        <f t="shared" ca="1" si="22"/>
        <v>251</v>
      </c>
      <c r="J179" s="233">
        <f ca="1">PROBLEMA!$F$102/(I179/IF(Tipo_Seccion_Ale=$J$17,12^0.5,4))</f>
        <v>63.745019920318725</v>
      </c>
      <c r="K179" s="234">
        <f t="shared" ca="1" si="23"/>
        <v>1.36</v>
      </c>
    </row>
    <row r="180" spans="1:11" x14ac:dyDescent="0.5">
      <c r="A180" s="228">
        <f t="shared" si="18"/>
        <v>33329.156461934115</v>
      </c>
      <c r="B180" s="228">
        <f ca="1">PROBLEMA!$F$84/(E180/IF(Tipo_Seccion_Ale=$J$17,12^0.5,4))</f>
        <v>77.669902912621353</v>
      </c>
      <c r="C180" s="229">
        <f t="shared" ca="1" si="19"/>
        <v>1.56</v>
      </c>
      <c r="D180" s="230">
        <f t="shared" ca="1" si="20"/>
        <v>21364.8438858552</v>
      </c>
      <c r="E180" s="231">
        <f t="shared" si="24"/>
        <v>206</v>
      </c>
      <c r="G180" s="232">
        <f t="shared" ca="1" si="21"/>
        <v>49875.924968391555</v>
      </c>
      <c r="H180" s="158">
        <f ca="1">PROBLEMA!$E$105/G180*K180</f>
        <v>16.89559041830389</v>
      </c>
      <c r="I180" s="158">
        <f t="shared" ca="1" si="22"/>
        <v>252</v>
      </c>
      <c r="J180" s="233">
        <f ca="1">PROBLEMA!$F$102/(I180/IF(Tipo_Seccion_Ale=$J$17,12^0.5,4))</f>
        <v>63.492063492063494</v>
      </c>
      <c r="K180" s="234">
        <f t="shared" ca="1" si="23"/>
        <v>1.36</v>
      </c>
    </row>
    <row r="181" spans="1:11" x14ac:dyDescent="0.5">
      <c r="A181" s="228">
        <f t="shared" si="18"/>
        <v>33653.525903417263</v>
      </c>
      <c r="B181" s="228">
        <f ca="1">PROBLEMA!$F$84/(E181/IF(Tipo_Seccion_Ale=$J$17,12^0.5,4))</f>
        <v>77.294685990338166</v>
      </c>
      <c r="C181" s="229">
        <f t="shared" ca="1" si="19"/>
        <v>1.56</v>
      </c>
      <c r="D181" s="230">
        <f t="shared" ca="1" si="20"/>
        <v>21572.773015011066</v>
      </c>
      <c r="E181" s="231">
        <f t="shared" si="24"/>
        <v>207</v>
      </c>
      <c r="G181" s="232">
        <f t="shared" ca="1" si="21"/>
        <v>50272.551040907267</v>
      </c>
      <c r="H181" s="158">
        <f ca="1">PROBLEMA!$E$105/G181*K181</f>
        <v>16.76229239519396</v>
      </c>
      <c r="I181" s="158">
        <f t="shared" ca="1" si="22"/>
        <v>253</v>
      </c>
      <c r="J181" s="233">
        <f ca="1">PROBLEMA!$F$102/(I181/IF(Tipo_Seccion_Ale=$J$17,12^0.5,4))</f>
        <v>63.241106719367586</v>
      </c>
      <c r="K181" s="234">
        <f t="shared" ca="1" si="23"/>
        <v>1.36</v>
      </c>
    </row>
    <row r="182" spans="1:11" x14ac:dyDescent="0.5">
      <c r="A182" s="228">
        <f t="shared" si="18"/>
        <v>33979.466141227203</v>
      </c>
      <c r="B182" s="228">
        <f ca="1">PROBLEMA!$F$84/(E182/IF(Tipo_Seccion_Ale=$J$17,12^0.5,4))</f>
        <v>76.92307692307692</v>
      </c>
      <c r="C182" s="229">
        <f t="shared" ca="1" si="19"/>
        <v>1.54</v>
      </c>
      <c r="D182" s="230">
        <f t="shared" ca="1" si="20"/>
        <v>22064.588403394286</v>
      </c>
      <c r="E182" s="231">
        <f t="shared" si="24"/>
        <v>208</v>
      </c>
      <c r="G182" s="232">
        <f t="shared" ca="1" si="21"/>
        <v>50670.747909749771</v>
      </c>
      <c r="H182" s="158">
        <f ca="1">PROBLEMA!$E$105/G182*K182</f>
        <v>16.508282085945847</v>
      </c>
      <c r="I182" s="158">
        <f t="shared" ca="1" si="22"/>
        <v>254</v>
      </c>
      <c r="J182" s="233">
        <f ca="1">PROBLEMA!$F$102/(I182/IF(Tipo_Seccion_Ale=$J$17,12^0.5,4))</f>
        <v>62.99212598425197</v>
      </c>
      <c r="K182" s="234">
        <f t="shared" ca="1" si="23"/>
        <v>1.35</v>
      </c>
    </row>
    <row r="183" spans="1:11" x14ac:dyDescent="0.5">
      <c r="A183" s="228">
        <f t="shared" si="18"/>
        <v>34306.977175363936</v>
      </c>
      <c r="B183" s="228">
        <f ca="1">PROBLEMA!$F$84/(E183/IF(Tipo_Seccion_Ale=$J$17,12^0.5,4))</f>
        <v>76.555023923444978</v>
      </c>
      <c r="C183" s="229">
        <f t="shared" ca="1" si="19"/>
        <v>1.54</v>
      </c>
      <c r="D183" s="230">
        <f t="shared" ca="1" si="20"/>
        <v>22277.257906080478</v>
      </c>
      <c r="E183" s="231">
        <f t="shared" si="24"/>
        <v>209</v>
      </c>
      <c r="G183" s="232">
        <f t="shared" ca="1" si="21"/>
        <v>51070.515574919074</v>
      </c>
      <c r="H183" s="158">
        <f ca="1">PROBLEMA!$E$105/G183*K183</f>
        <v>16.3790592396291</v>
      </c>
      <c r="I183" s="158">
        <f t="shared" ca="1" si="22"/>
        <v>255</v>
      </c>
      <c r="J183" s="233">
        <f ca="1">PROBLEMA!$F$102/(I183/IF(Tipo_Seccion_Ale=$J$17,12^0.5,4))</f>
        <v>62.745098039215684</v>
      </c>
      <c r="K183" s="234">
        <f t="shared" ca="1" si="23"/>
        <v>1.35</v>
      </c>
    </row>
    <row r="184" spans="1:11" x14ac:dyDescent="0.5">
      <c r="A184" s="228">
        <f t="shared" si="18"/>
        <v>34636.059005827468</v>
      </c>
      <c r="B184" s="228">
        <f ca="1">PROBLEMA!$F$84/(E184/IF(Tipo_Seccion_Ale=$J$17,12^0.5,4))</f>
        <v>76.19047619047619</v>
      </c>
      <c r="C184" s="229">
        <f t="shared" ca="1" si="19"/>
        <v>1.54</v>
      </c>
      <c r="D184" s="230">
        <f t="shared" ca="1" si="20"/>
        <v>22490.947406381474</v>
      </c>
      <c r="E184" s="231">
        <f t="shared" si="24"/>
        <v>210</v>
      </c>
      <c r="G184" s="232">
        <f t="shared" ca="1" si="21"/>
        <v>51471.85403641517</v>
      </c>
      <c r="H184" s="158">
        <f ca="1">PROBLEMA!$E$105/G184*K184</f>
        <v>16.251347763929477</v>
      </c>
      <c r="I184" s="158">
        <f t="shared" ca="1" si="22"/>
        <v>256</v>
      </c>
      <c r="J184" s="233">
        <f ca="1">PROBLEMA!$F$102/(I184/IF(Tipo_Seccion_Ale=$J$17,12^0.5,4))</f>
        <v>62.5</v>
      </c>
      <c r="K184" s="234">
        <f t="shared" ca="1" si="23"/>
        <v>1.35</v>
      </c>
    </row>
    <row r="185" spans="1:11" x14ac:dyDescent="0.5">
      <c r="A185" s="228">
        <f t="shared" si="18"/>
        <v>34966.711632617793</v>
      </c>
      <c r="B185" s="228">
        <f ca="1">PROBLEMA!$F$84/(E185/IF(Tipo_Seccion_Ale=$J$17,12^0.5,4))</f>
        <v>75.829383886255926</v>
      </c>
      <c r="C185" s="229">
        <f t="shared" ca="1" si="19"/>
        <v>1.52</v>
      </c>
      <c r="D185" s="230">
        <f t="shared" ca="1" si="20"/>
        <v>23004.415547774865</v>
      </c>
      <c r="E185" s="231">
        <f t="shared" si="24"/>
        <v>211</v>
      </c>
      <c r="G185" s="232">
        <f t="shared" ca="1" si="21"/>
        <v>51874.763294238059</v>
      </c>
      <c r="H185" s="158">
        <f ca="1">PROBLEMA!$E$105/G185*K185</f>
        <v>16.125124181393847</v>
      </c>
      <c r="I185" s="158">
        <f t="shared" ca="1" si="22"/>
        <v>257</v>
      </c>
      <c r="J185" s="233">
        <f ca="1">PROBLEMA!$F$102/(I185/IF(Tipo_Seccion_Ale=$J$17,12^0.5,4))</f>
        <v>62.2568093385214</v>
      </c>
      <c r="K185" s="234">
        <f t="shared" ca="1" si="23"/>
        <v>1.35</v>
      </c>
    </row>
    <row r="186" spans="1:11" x14ac:dyDescent="0.5">
      <c r="A186" s="228">
        <f t="shared" si="18"/>
        <v>35298.935055734917</v>
      </c>
      <c r="B186" s="228">
        <f ca="1">PROBLEMA!$F$84/(E186/IF(Tipo_Seccion_Ale=$J$17,12^0.5,4))</f>
        <v>75.471698113207552</v>
      </c>
      <c r="C186" s="229">
        <f t="shared" ca="1" si="19"/>
        <v>1.52</v>
      </c>
      <c r="D186" s="230">
        <f t="shared" ca="1" si="20"/>
        <v>23222.983589299289</v>
      </c>
      <c r="E186" s="231">
        <f t="shared" si="24"/>
        <v>212</v>
      </c>
      <c r="G186" s="232">
        <f t="shared" ca="1" si="21"/>
        <v>52279.243348387747</v>
      </c>
      <c r="H186" s="158">
        <f ca="1">PROBLEMA!$E$105/G186*K186</f>
        <v>16.000365468674993</v>
      </c>
      <c r="I186" s="158">
        <f t="shared" ca="1" si="22"/>
        <v>258</v>
      </c>
      <c r="J186" s="233">
        <f ca="1">PROBLEMA!$F$102/(I186/IF(Tipo_Seccion_Ale=$J$17,12^0.5,4))</f>
        <v>62.015503875968989</v>
      </c>
      <c r="K186" s="234">
        <f t="shared" ca="1" si="23"/>
        <v>1.35</v>
      </c>
    </row>
    <row r="187" spans="1:11" x14ac:dyDescent="0.5">
      <c r="A187" s="228">
        <f t="shared" si="18"/>
        <v>35632.729275178834</v>
      </c>
      <c r="B187" s="228">
        <f ca="1">PROBLEMA!$F$84/(E187/IF(Tipo_Seccion_Ale=$J$17,12^0.5,4))</f>
        <v>75.117370892018783</v>
      </c>
      <c r="C187" s="229">
        <f t="shared" ca="1" si="19"/>
        <v>1.52</v>
      </c>
      <c r="D187" s="230">
        <f t="shared" ca="1" si="20"/>
        <v>23442.585049459758</v>
      </c>
      <c r="E187" s="231">
        <f t="shared" si="24"/>
        <v>213</v>
      </c>
      <c r="G187" s="232">
        <f t="shared" ca="1" si="21"/>
        <v>52685.294198864227</v>
      </c>
      <c r="H187" s="158">
        <f ca="1">PROBLEMA!$E$105/G187*K187</f>
        <v>15.641833504609444</v>
      </c>
      <c r="I187" s="158">
        <f t="shared" ca="1" si="22"/>
        <v>259</v>
      </c>
      <c r="J187" s="233">
        <f ca="1">PROBLEMA!$F$102/(I187/IF(Tipo_Seccion_Ale=$J$17,12^0.5,4))</f>
        <v>61.776061776061773</v>
      </c>
      <c r="K187" s="234">
        <f t="shared" ca="1" si="23"/>
        <v>1.33</v>
      </c>
    </row>
    <row r="188" spans="1:11" x14ac:dyDescent="0.5">
      <c r="A188" s="228">
        <f t="shared" si="18"/>
        <v>35968.094290949542</v>
      </c>
      <c r="B188" s="228">
        <f ca="1">PROBLEMA!$F$84/(E188/IF(Tipo_Seccion_Ale=$J$17,12^0.5,4))</f>
        <v>74.766355140186917</v>
      </c>
      <c r="C188" s="229">
        <f t="shared" ca="1" si="19"/>
        <v>1.51</v>
      </c>
      <c r="D188" s="230">
        <f t="shared" ca="1" si="20"/>
        <v>23819.929994006321</v>
      </c>
      <c r="E188" s="231">
        <f t="shared" si="24"/>
        <v>214</v>
      </c>
      <c r="G188" s="232">
        <f t="shared" ca="1" si="21"/>
        <v>53092.915845667507</v>
      </c>
      <c r="H188" s="158">
        <f ca="1">PROBLEMA!$E$105/G188*K188</f>
        <v>15.521743096489734</v>
      </c>
      <c r="I188" s="158">
        <f t="shared" ca="1" si="22"/>
        <v>260</v>
      </c>
      <c r="J188" s="233">
        <f ca="1">PROBLEMA!$F$102/(I188/IF(Tipo_Seccion_Ale=$J$17,12^0.5,4))</f>
        <v>61.53846153846154</v>
      </c>
      <c r="K188" s="234">
        <f t="shared" ca="1" si="23"/>
        <v>1.33</v>
      </c>
    </row>
    <row r="189" spans="1:11" x14ac:dyDescent="0.5">
      <c r="A189" s="228">
        <f t="shared" si="18"/>
        <v>36305.030103047044</v>
      </c>
      <c r="B189" s="228">
        <f ca="1">PROBLEMA!$F$84/(E189/IF(Tipo_Seccion_Ale=$J$17,12^0.5,4))</f>
        <v>74.418604651162795</v>
      </c>
      <c r="C189" s="229">
        <f t="shared" ca="1" si="19"/>
        <v>1.51</v>
      </c>
      <c r="D189" s="230">
        <f t="shared" ca="1" si="20"/>
        <v>24043.066293408639</v>
      </c>
      <c r="E189" s="231">
        <f t="shared" si="24"/>
        <v>215</v>
      </c>
      <c r="G189" s="232">
        <f t="shared" ca="1" si="21"/>
        <v>53502.108288797572</v>
      </c>
      <c r="H189" s="158">
        <f ca="1">PROBLEMA!$E$105/G189*K189</f>
        <v>15.403030391842547</v>
      </c>
      <c r="I189" s="158">
        <f t="shared" ca="1" si="22"/>
        <v>261</v>
      </c>
      <c r="J189" s="233">
        <f ca="1">PROBLEMA!$F$102/(I189/IF(Tipo_Seccion_Ale=$J$17,12^0.5,4))</f>
        <v>61.302681992337163</v>
      </c>
      <c r="K189" s="234">
        <f t="shared" ca="1" si="23"/>
        <v>1.33</v>
      </c>
    </row>
    <row r="190" spans="1:11" x14ac:dyDescent="0.5">
      <c r="A190" s="228">
        <f t="shared" si="18"/>
        <v>36643.536711471344</v>
      </c>
      <c r="B190" s="228">
        <f ca="1">PROBLEMA!$F$84/(E190/IF(Tipo_Seccion_Ale=$J$17,12^0.5,4))</f>
        <v>74.074074074074076</v>
      </c>
      <c r="C190" s="229">
        <f t="shared" ca="1" si="19"/>
        <v>1.51</v>
      </c>
      <c r="D190" s="230">
        <f t="shared" ca="1" si="20"/>
        <v>24267.242855279037</v>
      </c>
      <c r="E190" s="231">
        <f t="shared" si="24"/>
        <v>216</v>
      </c>
      <c r="G190" s="232">
        <f t="shared" ca="1" si="21"/>
        <v>53912.871528254436</v>
      </c>
      <c r="H190" s="158">
        <f ca="1">PROBLEMA!$E$105/G190*K190</f>
        <v>15.285674397219074</v>
      </c>
      <c r="I190" s="158">
        <f t="shared" ca="1" si="22"/>
        <v>262</v>
      </c>
      <c r="J190" s="233">
        <f ca="1">PROBLEMA!$F$102/(I190/IF(Tipo_Seccion_Ale=$J$17,12^0.5,4))</f>
        <v>61.068702290076338</v>
      </c>
      <c r="K190" s="234">
        <f t="shared" ca="1" si="23"/>
        <v>1.33</v>
      </c>
    </row>
    <row r="191" spans="1:11" x14ac:dyDescent="0.5">
      <c r="A191" s="228">
        <f t="shared" si="18"/>
        <v>36983.614116222445</v>
      </c>
      <c r="B191" s="228">
        <f ca="1">PROBLEMA!$F$84/(E191/IF(Tipo_Seccion_Ale=$J$17,12^0.5,4))</f>
        <v>73.73271889400921</v>
      </c>
      <c r="C191" s="229">
        <f t="shared" ca="1" si="19"/>
        <v>1.49</v>
      </c>
      <c r="D191" s="230">
        <f t="shared" ca="1" si="20"/>
        <v>24821.217527666071</v>
      </c>
      <c r="E191" s="231">
        <f t="shared" si="24"/>
        <v>217</v>
      </c>
      <c r="G191" s="232">
        <f t="shared" ca="1" si="21"/>
        <v>54325.2055640381</v>
      </c>
      <c r="H191" s="158">
        <f ca="1">PROBLEMA!$E$105/G191*K191</f>
        <v>15.055596964761932</v>
      </c>
      <c r="I191" s="158">
        <f t="shared" ca="1" si="22"/>
        <v>263</v>
      </c>
      <c r="J191" s="233">
        <f ca="1">PROBLEMA!$F$102/(I191/IF(Tipo_Seccion_Ale=$J$17,12^0.5,4))</f>
        <v>60.836501901140686</v>
      </c>
      <c r="K191" s="234">
        <f t="shared" ca="1" si="23"/>
        <v>1.32</v>
      </c>
    </row>
    <row r="192" spans="1:11" x14ac:dyDescent="0.5">
      <c r="A192" s="228">
        <f t="shared" si="18"/>
        <v>37325.26231730033</v>
      </c>
      <c r="B192" s="228">
        <f ca="1">PROBLEMA!$F$84/(E192/IF(Tipo_Seccion_Ale=$J$17,12^0.5,4))</f>
        <v>73.394495412844037</v>
      </c>
      <c r="C192" s="229">
        <f t="shared" ca="1" si="19"/>
        <v>1.49</v>
      </c>
      <c r="D192" s="230">
        <f t="shared" ca="1" si="20"/>
        <v>25050.511622349215</v>
      </c>
      <c r="E192" s="231">
        <f t="shared" si="24"/>
        <v>218</v>
      </c>
      <c r="G192" s="232">
        <f t="shared" ca="1" si="21"/>
        <v>54739.110396148557</v>
      </c>
      <c r="H192" s="158">
        <f ca="1">PROBLEMA!$E$105/G192*K192</f>
        <v>14.941755430090939</v>
      </c>
      <c r="I192" s="158">
        <f t="shared" ca="1" si="22"/>
        <v>264</v>
      </c>
      <c r="J192" s="233">
        <f ca="1">PROBLEMA!$F$102/(I192/IF(Tipo_Seccion_Ale=$J$17,12^0.5,4))</f>
        <v>60.606060606060609</v>
      </c>
      <c r="K192" s="234">
        <f t="shared" ca="1" si="23"/>
        <v>1.32</v>
      </c>
    </row>
    <row r="193" spans="1:11" x14ac:dyDescent="0.5">
      <c r="A193" s="228">
        <f t="shared" si="18"/>
        <v>37668.481314705015</v>
      </c>
      <c r="B193" s="228">
        <f ca="1">PROBLEMA!$F$84/(E193/IF(Tipo_Seccion_Ale=$J$17,12^0.5,4))</f>
        <v>73.05936073059361</v>
      </c>
      <c r="C193" s="229">
        <f t="shared" ca="1" si="19"/>
        <v>1.49</v>
      </c>
      <c r="D193" s="230">
        <f t="shared" ca="1" si="20"/>
        <v>25280.859942755043</v>
      </c>
      <c r="E193" s="231">
        <f t="shared" si="24"/>
        <v>219</v>
      </c>
      <c r="G193" s="232">
        <f t="shared" ca="1" si="21"/>
        <v>55154.586024585806</v>
      </c>
      <c r="H193" s="158">
        <f ca="1">PROBLEMA!$E$105/G193*K193</f>
        <v>14.829200234327065</v>
      </c>
      <c r="I193" s="158">
        <f t="shared" ca="1" si="22"/>
        <v>265</v>
      </c>
      <c r="J193" s="233">
        <f ca="1">PROBLEMA!$F$102/(I193/IF(Tipo_Seccion_Ale=$J$17,12^0.5,4))</f>
        <v>60.377358490566039</v>
      </c>
      <c r="K193" s="234">
        <f t="shared" ca="1" si="23"/>
        <v>1.32</v>
      </c>
    </row>
    <row r="194" spans="1:11" x14ac:dyDescent="0.5">
      <c r="A194" s="228">
        <f t="shared" si="18"/>
        <v>38013.2711084365</v>
      </c>
      <c r="B194" s="228">
        <f ca="1">PROBLEMA!$F$84/(E194/IF(Tipo_Seccion_Ale=$J$17,12^0.5,4))</f>
        <v>72.727272727272734</v>
      </c>
      <c r="C194" s="229">
        <f t="shared" ca="1" si="19"/>
        <v>1.48</v>
      </c>
      <c r="D194" s="230">
        <f t="shared" ca="1" si="20"/>
        <v>25684.642640835475</v>
      </c>
      <c r="E194" s="231">
        <f t="shared" si="24"/>
        <v>220</v>
      </c>
      <c r="G194" s="232">
        <f t="shared" ca="1" si="21"/>
        <v>55571.632449349847</v>
      </c>
      <c r="H194" s="158">
        <f ca="1">PROBLEMA!$E$105/G194*K194</f>
        <v>14.717912070433858</v>
      </c>
      <c r="I194" s="158">
        <f t="shared" ca="1" si="22"/>
        <v>266</v>
      </c>
      <c r="J194" s="233">
        <f ca="1">PROBLEMA!$F$102/(I194/IF(Tipo_Seccion_Ale=$J$17,12^0.5,4))</f>
        <v>60.150375939849624</v>
      </c>
      <c r="K194" s="234">
        <f t="shared" ca="1" si="23"/>
        <v>1.32</v>
      </c>
    </row>
    <row r="195" spans="1:11" x14ac:dyDescent="0.5">
      <c r="A195" s="228">
        <f t="shared" si="18"/>
        <v>38359.63169849477</v>
      </c>
      <c r="B195" s="228">
        <f ca="1">PROBLEMA!$F$84/(E195/IF(Tipo_Seccion_Ale=$J$17,12^0.5,4))</f>
        <v>72.398190045248867</v>
      </c>
      <c r="C195" s="229">
        <f t="shared" ca="1" si="19"/>
        <v>1.48</v>
      </c>
      <c r="D195" s="230">
        <f t="shared" ca="1" si="20"/>
        <v>25918.67006655052</v>
      </c>
      <c r="E195" s="231">
        <f t="shared" si="24"/>
        <v>221</v>
      </c>
      <c r="G195" s="232">
        <f t="shared" ca="1" si="21"/>
        <v>55990.249670440688</v>
      </c>
      <c r="H195" s="158">
        <f ca="1">PROBLEMA!$E$105/G195*K195</f>
        <v>14.497206295340517</v>
      </c>
      <c r="I195" s="158">
        <f t="shared" ca="1" si="22"/>
        <v>267</v>
      </c>
      <c r="J195" s="233">
        <f ca="1">PROBLEMA!$F$102/(I195/IF(Tipo_Seccion_Ale=$J$17,12^0.5,4))</f>
        <v>59.925093632958799</v>
      </c>
      <c r="K195" s="234">
        <f t="shared" ca="1" si="23"/>
        <v>1.31</v>
      </c>
    </row>
    <row r="196" spans="1:11" x14ac:dyDescent="0.5">
      <c r="A196" s="228">
        <f t="shared" si="18"/>
        <v>38707.563084879839</v>
      </c>
      <c r="B196" s="228">
        <f ca="1">PROBLEMA!$F$84/(E196/IF(Tipo_Seccion_Ale=$J$17,12^0.5,4))</f>
        <v>72.072072072072075</v>
      </c>
      <c r="C196" s="229">
        <f t="shared" ca="1" si="19"/>
        <v>1.48</v>
      </c>
      <c r="D196" s="230">
        <f t="shared" ca="1" si="20"/>
        <v>26153.758841135026</v>
      </c>
      <c r="E196" s="231">
        <f t="shared" si="24"/>
        <v>222</v>
      </c>
      <c r="G196" s="232">
        <f t="shared" ca="1" si="21"/>
        <v>56410.437687858328</v>
      </c>
      <c r="H196" s="158">
        <f ca="1">PROBLEMA!$E$105/G196*K196</f>
        <v>14.389220032141484</v>
      </c>
      <c r="I196" s="158">
        <f t="shared" ca="1" si="22"/>
        <v>268</v>
      </c>
      <c r="J196" s="233">
        <f ca="1">PROBLEMA!$F$102/(I196/IF(Tipo_Seccion_Ale=$J$17,12^0.5,4))</f>
        <v>59.701492537313435</v>
      </c>
      <c r="K196" s="234">
        <f t="shared" ca="1" si="23"/>
        <v>1.31</v>
      </c>
    </row>
    <row r="197" spans="1:11" x14ac:dyDescent="0.5">
      <c r="A197" s="228">
        <f t="shared" si="18"/>
        <v>39057.065267591708</v>
      </c>
      <c r="B197" s="228">
        <f ca="1">PROBLEMA!$F$84/(E197/IF(Tipo_Seccion_Ale=$J$17,12^0.5,4))</f>
        <v>71.74887892376681</v>
      </c>
      <c r="C197" s="229">
        <f t="shared" ca="1" si="19"/>
        <v>1.46</v>
      </c>
      <c r="D197" s="230">
        <f t="shared" ca="1" si="20"/>
        <v>26751.414566843636</v>
      </c>
      <c r="E197" s="231">
        <f t="shared" si="24"/>
        <v>223</v>
      </c>
      <c r="G197" s="232">
        <f t="shared" ca="1" si="21"/>
        <v>56832.196501602753</v>
      </c>
      <c r="H197" s="158">
        <f ca="1">PROBLEMA!$E$105/G197*K197</f>
        <v>14.282435836825503</v>
      </c>
      <c r="I197" s="158">
        <f t="shared" ca="1" si="22"/>
        <v>269</v>
      </c>
      <c r="J197" s="233">
        <f ca="1">PROBLEMA!$F$102/(I197/IF(Tipo_Seccion_Ale=$J$17,12^0.5,4))</f>
        <v>59.479553903345725</v>
      </c>
      <c r="K197" s="234">
        <f t="shared" ca="1" si="23"/>
        <v>1.31</v>
      </c>
    </row>
    <row r="198" spans="1:11" x14ac:dyDescent="0.5">
      <c r="A198" s="228">
        <f t="shared" si="18"/>
        <v>39408.138246630362</v>
      </c>
      <c r="B198" s="228">
        <f ca="1">PROBLEMA!$F$84/(E198/IF(Tipo_Seccion_Ale=$J$17,12^0.5,4))</f>
        <v>71.428571428571431</v>
      </c>
      <c r="C198" s="229">
        <f t="shared" ca="1" si="19"/>
        <v>1.46</v>
      </c>
      <c r="D198" s="230">
        <f t="shared" ca="1" si="20"/>
        <v>26991.875511390659</v>
      </c>
      <c r="E198" s="231">
        <f t="shared" si="24"/>
        <v>224</v>
      </c>
      <c r="G198" s="232">
        <f t="shared" ca="1" si="21"/>
        <v>57255.526111673978</v>
      </c>
      <c r="H198" s="158">
        <f ca="1">PROBLEMA!$E$105/G198*K198</f>
        <v>14.17683593399904</v>
      </c>
      <c r="I198" s="158">
        <f t="shared" ca="1" si="22"/>
        <v>270</v>
      </c>
      <c r="J198" s="233">
        <f ca="1">PROBLEMA!$F$102/(I198/IF(Tipo_Seccion_Ale=$J$17,12^0.5,4))</f>
        <v>59.25925925925926</v>
      </c>
      <c r="K198" s="234">
        <f t="shared" ca="1" si="23"/>
        <v>1.31</v>
      </c>
    </row>
    <row r="199" spans="1:11" x14ac:dyDescent="0.5">
      <c r="A199" s="228">
        <f t="shared" si="18"/>
        <v>39760.782021995816</v>
      </c>
      <c r="B199" s="228">
        <f ca="1">PROBLEMA!$F$84/(E199/IF(Tipo_Seccion_Ale=$J$17,12^0.5,4))</f>
        <v>71.111111111111114</v>
      </c>
      <c r="C199" s="229">
        <f t="shared" ca="1" si="19"/>
        <v>1.46</v>
      </c>
      <c r="D199" s="230">
        <f t="shared" ca="1" si="20"/>
        <v>27233.412343832752</v>
      </c>
      <c r="E199" s="231">
        <f t="shared" si="24"/>
        <v>225</v>
      </c>
      <c r="G199" s="232">
        <f t="shared" ca="1" si="21"/>
        <v>57680.426518071996</v>
      </c>
      <c r="H199" s="158">
        <f ca="1">PROBLEMA!$E$105/G199*K199</f>
        <v>14.072402875621657</v>
      </c>
      <c r="I199" s="158">
        <f t="shared" ca="1" si="22"/>
        <v>271</v>
      </c>
      <c r="J199" s="233">
        <f ca="1">PROBLEMA!$F$102/(I199/IF(Tipo_Seccion_Ale=$J$17,12^0.5,4))</f>
        <v>59.040590405904062</v>
      </c>
      <c r="K199" s="234">
        <f t="shared" ca="1" si="23"/>
        <v>1.31</v>
      </c>
    </row>
    <row r="200" spans="1:11" x14ac:dyDescent="0.5">
      <c r="A200" s="228">
        <f t="shared" si="18"/>
        <v>40114.996593688069</v>
      </c>
      <c r="B200" s="228">
        <f ca="1">PROBLEMA!$F$84/(E200/IF(Tipo_Seccion_Ale=$J$17,12^0.5,4))</f>
        <v>70.796460176991147</v>
      </c>
      <c r="C200" s="229">
        <f t="shared" ca="1" si="19"/>
        <v>1.45</v>
      </c>
      <c r="D200" s="230">
        <f t="shared" ca="1" si="20"/>
        <v>27665.514892198669</v>
      </c>
      <c r="E200" s="231">
        <f t="shared" si="24"/>
        <v>226</v>
      </c>
      <c r="G200" s="232">
        <f t="shared" ca="1" si="21"/>
        <v>58106.897720796813</v>
      </c>
      <c r="H200" s="158">
        <f ca="1">PROBLEMA!$E$105/G200*K200</f>
        <v>13.862485033540251</v>
      </c>
      <c r="I200" s="158">
        <f t="shared" ca="1" si="22"/>
        <v>272</v>
      </c>
      <c r="J200" s="233">
        <f ca="1">PROBLEMA!$F$102/(I200/IF(Tipo_Seccion_Ale=$J$17,12^0.5,4))</f>
        <v>58.823529411764703</v>
      </c>
      <c r="K200" s="234">
        <f t="shared" ca="1" si="23"/>
        <v>1.3</v>
      </c>
    </row>
    <row r="201" spans="1:11" x14ac:dyDescent="0.5">
      <c r="A201" s="228">
        <f t="shared" si="18"/>
        <v>40470.781961707115</v>
      </c>
      <c r="B201" s="228">
        <f ca="1">PROBLEMA!$F$84/(E201/IF(Tipo_Seccion_Ale=$J$17,12^0.5,4))</f>
        <v>70.48458149779735</v>
      </c>
      <c r="C201" s="229">
        <f t="shared" ca="1" si="19"/>
        <v>1.45</v>
      </c>
      <c r="D201" s="230">
        <f t="shared" ca="1" si="20"/>
        <v>27910.884111522148</v>
      </c>
      <c r="E201" s="231">
        <f t="shared" si="24"/>
        <v>227</v>
      </c>
      <c r="G201" s="232">
        <f t="shared" ca="1" si="21"/>
        <v>58534.939719848422</v>
      </c>
      <c r="H201" s="158">
        <f ca="1">PROBLEMA!$E$105/G201*K201</f>
        <v>13.76111436784932</v>
      </c>
      <c r="I201" s="158">
        <f t="shared" ca="1" si="22"/>
        <v>273</v>
      </c>
      <c r="J201" s="233">
        <f ca="1">PROBLEMA!$F$102/(I201/IF(Tipo_Seccion_Ale=$J$17,12^0.5,4))</f>
        <v>58.608058608058606</v>
      </c>
      <c r="K201" s="234">
        <f t="shared" ca="1" si="23"/>
        <v>1.3</v>
      </c>
    </row>
    <row r="202" spans="1:11" x14ac:dyDescent="0.5">
      <c r="A202" s="228">
        <f t="shared" si="18"/>
        <v>40828.138126052952</v>
      </c>
      <c r="B202" s="228">
        <f ca="1">PROBLEMA!$F$84/(E202/IF(Tipo_Seccion_Ale=$J$17,12^0.5,4))</f>
        <v>70.175438596491233</v>
      </c>
      <c r="C202" s="229">
        <f t="shared" ca="1" si="19"/>
        <v>1.45</v>
      </c>
      <c r="D202" s="230">
        <f t="shared" ca="1" si="20"/>
        <v>28157.336638657209</v>
      </c>
      <c r="E202" s="231">
        <f t="shared" si="24"/>
        <v>228</v>
      </c>
      <c r="G202" s="232">
        <f t="shared" ca="1" si="21"/>
        <v>58964.552515226824</v>
      </c>
      <c r="H202" s="158">
        <f ca="1">PROBLEMA!$E$105/G202*K202</f>
        <v>13.660851573358224</v>
      </c>
      <c r="I202" s="158">
        <f t="shared" ca="1" si="22"/>
        <v>274</v>
      </c>
      <c r="J202" s="233">
        <f ca="1">PROBLEMA!$F$102/(I202/IF(Tipo_Seccion_Ale=$J$17,12^0.5,4))</f>
        <v>58.394160583941606</v>
      </c>
      <c r="K202" s="234">
        <f t="shared" ca="1" si="23"/>
        <v>1.3</v>
      </c>
    </row>
    <row r="203" spans="1:11" x14ac:dyDescent="0.5">
      <c r="A203" s="228">
        <f t="shared" si="18"/>
        <v>41187.065086725583</v>
      </c>
      <c r="B203" s="228">
        <f ca="1">PROBLEMA!$F$84/(E203/IF(Tipo_Seccion_Ale=$J$17,12^0.5,4))</f>
        <v>69.86899563318778</v>
      </c>
      <c r="C203" s="229">
        <f t="shared" ca="1" si="19"/>
        <v>1.44</v>
      </c>
      <c r="D203" s="230">
        <f t="shared" ca="1" si="20"/>
        <v>28602.128532448321</v>
      </c>
      <c r="E203" s="231">
        <f t="shared" si="24"/>
        <v>229</v>
      </c>
      <c r="G203" s="232">
        <f t="shared" ca="1" si="21"/>
        <v>59395.736106932025</v>
      </c>
      <c r="H203" s="158">
        <f ca="1">PROBLEMA!$E$105/G203*K203</f>
        <v>13.561680564911629</v>
      </c>
      <c r="I203" s="158">
        <f t="shared" ca="1" si="22"/>
        <v>275</v>
      </c>
      <c r="J203" s="233">
        <f ca="1">PROBLEMA!$F$102/(I203/IF(Tipo_Seccion_Ale=$J$17,12^0.5,4))</f>
        <v>58.18181818181818</v>
      </c>
      <c r="K203" s="234">
        <f t="shared" ca="1" si="23"/>
        <v>1.3</v>
      </c>
    </row>
    <row r="204" spans="1:11" x14ac:dyDescent="0.5">
      <c r="A204" s="228">
        <f t="shared" si="18"/>
        <v>41547.562843725012</v>
      </c>
      <c r="B204" s="228">
        <f ca="1">PROBLEMA!$F$84/(E204/IF(Tipo_Seccion_Ale=$J$17,12^0.5,4))</f>
        <v>69.565217391304344</v>
      </c>
      <c r="C204" s="229">
        <f t="shared" ca="1" si="19"/>
        <v>1.44</v>
      </c>
      <c r="D204" s="230">
        <f t="shared" ca="1" si="20"/>
        <v>28852.474197031261</v>
      </c>
      <c r="E204" s="231">
        <f t="shared" si="24"/>
        <v>230</v>
      </c>
      <c r="G204" s="232">
        <f t="shared" ca="1" si="21"/>
        <v>59828.490494964019</v>
      </c>
      <c r="H204" s="158">
        <f ca="1">PROBLEMA!$E$105/G204*K204</f>
        <v>13.36001950554445</v>
      </c>
      <c r="I204" s="158">
        <f t="shared" ca="1" si="22"/>
        <v>276</v>
      </c>
      <c r="J204" s="233">
        <f ca="1">PROBLEMA!$F$102/(I204/IF(Tipo_Seccion_Ale=$J$17,12^0.5,4))</f>
        <v>57.971014492753625</v>
      </c>
      <c r="K204" s="234">
        <f t="shared" ca="1" si="23"/>
        <v>1.29</v>
      </c>
    </row>
    <row r="205" spans="1:11" x14ac:dyDescent="0.5">
      <c r="A205" s="228">
        <f t="shared" si="18"/>
        <v>41909.631397051235</v>
      </c>
      <c r="B205" s="228">
        <f ca="1">PROBLEMA!$F$84/(E205/IF(Tipo_Seccion_Ale=$J$17,12^0.5,4))</f>
        <v>69.264069264069263</v>
      </c>
      <c r="C205" s="229">
        <f t="shared" ca="1" si="19"/>
        <v>1.44</v>
      </c>
      <c r="D205" s="230">
        <f t="shared" ca="1" si="20"/>
        <v>29103.91069239669</v>
      </c>
      <c r="E205" s="231">
        <f t="shared" si="24"/>
        <v>231</v>
      </c>
      <c r="G205" s="232">
        <f t="shared" ca="1" si="21"/>
        <v>60262.815679322812</v>
      </c>
      <c r="H205" s="158">
        <f ca="1">PROBLEMA!$E$105/G205*K205</f>
        <v>13.263731390404592</v>
      </c>
      <c r="I205" s="158">
        <f t="shared" ca="1" si="22"/>
        <v>277</v>
      </c>
      <c r="J205" s="233">
        <f ca="1">PROBLEMA!$F$102/(I205/IF(Tipo_Seccion_Ale=$J$17,12^0.5,4))</f>
        <v>57.761732851985556</v>
      </c>
      <c r="K205" s="234">
        <f t="shared" ca="1" si="23"/>
        <v>1.29</v>
      </c>
    </row>
    <row r="206" spans="1:11" x14ac:dyDescent="0.5">
      <c r="A206" s="228">
        <f t="shared" si="18"/>
        <v>42273.270746704256</v>
      </c>
      <c r="B206" s="228">
        <f ca="1">PROBLEMA!$F$84/(E206/IF(Tipo_Seccion_Ale=$J$17,12^0.5,4))</f>
        <v>68.965517241379317</v>
      </c>
      <c r="C206" s="229">
        <f t="shared" ca="1" si="19"/>
        <v>1.42</v>
      </c>
      <c r="D206" s="230">
        <f t="shared" ca="1" si="20"/>
        <v>29769.908976552295</v>
      </c>
      <c r="E206" s="231">
        <f t="shared" si="24"/>
        <v>232</v>
      </c>
      <c r="G206" s="232">
        <f t="shared" ca="1" si="21"/>
        <v>60698.71166000839</v>
      </c>
      <c r="H206" s="158">
        <f ca="1">PROBLEMA!$E$105/G206*K206</f>
        <v>13.168480485667848</v>
      </c>
      <c r="I206" s="158">
        <f t="shared" ca="1" si="22"/>
        <v>278</v>
      </c>
      <c r="J206" s="233">
        <f ca="1">PROBLEMA!$F$102/(I206/IF(Tipo_Seccion_Ale=$J$17,12^0.5,4))</f>
        <v>57.553956834532372</v>
      </c>
      <c r="K206" s="234">
        <f t="shared" ca="1" si="23"/>
        <v>1.29</v>
      </c>
    </row>
    <row r="207" spans="1:11" x14ac:dyDescent="0.5">
      <c r="A207" s="228">
        <f t="shared" si="18"/>
        <v>42638.480892684071</v>
      </c>
      <c r="B207" s="228">
        <f ca="1">PROBLEMA!$F$84/(E207/IF(Tipo_Seccion_Ale=$J$17,12^0.5,4))</f>
        <v>68.669527896995703</v>
      </c>
      <c r="C207" s="229">
        <f t="shared" ca="1" si="19"/>
        <v>1.42</v>
      </c>
      <c r="D207" s="230">
        <f t="shared" ca="1" si="20"/>
        <v>30027.099220200053</v>
      </c>
      <c r="E207" s="231">
        <f t="shared" si="24"/>
        <v>233</v>
      </c>
      <c r="G207" s="232">
        <f t="shared" ca="1" si="21"/>
        <v>61136.178437020768</v>
      </c>
      <c r="H207" s="158">
        <f ca="1">PROBLEMA!$E$105/G207*K207</f>
        <v>13.074251947615704</v>
      </c>
      <c r="I207" s="158">
        <f t="shared" ca="1" si="22"/>
        <v>279</v>
      </c>
      <c r="J207" s="233">
        <f ca="1">PROBLEMA!$F$102/(I207/IF(Tipo_Seccion_Ale=$J$17,12^0.5,4))</f>
        <v>57.347670250896059</v>
      </c>
      <c r="K207" s="234">
        <f t="shared" ca="1" si="23"/>
        <v>1.29</v>
      </c>
    </row>
    <row r="208" spans="1:11" x14ac:dyDescent="0.5">
      <c r="A208" s="228">
        <f t="shared" si="18"/>
        <v>43005.261834990677</v>
      </c>
      <c r="B208" s="228">
        <f ca="1">PROBLEMA!$F$84/(E208/IF(Tipo_Seccion_Ale=$J$17,12^0.5,4))</f>
        <v>68.376068376068375</v>
      </c>
      <c r="C208" s="229">
        <f t="shared" ca="1" si="19"/>
        <v>1.42</v>
      </c>
      <c r="D208" s="230">
        <f t="shared" ca="1" si="20"/>
        <v>30285.39565844414</v>
      </c>
      <c r="E208" s="231">
        <f t="shared" si="24"/>
        <v>234</v>
      </c>
      <c r="G208" s="232">
        <f t="shared" ca="1" si="21"/>
        <v>61575.216010359945</v>
      </c>
      <c r="H208" s="158">
        <f ca="1">PROBLEMA!$E$105/G208*K208</f>
        <v>12.981031197121863</v>
      </c>
      <c r="I208" s="158">
        <f t="shared" ca="1" si="22"/>
        <v>280</v>
      </c>
      <c r="J208" s="233">
        <f ca="1">PROBLEMA!$F$102/(I208/IF(Tipo_Seccion_Ale=$J$17,12^0.5,4))</f>
        <v>57.142857142857146</v>
      </c>
      <c r="K208" s="234">
        <f t="shared" ca="1" si="23"/>
        <v>1.29</v>
      </c>
    </row>
    <row r="209" spans="1:11" x14ac:dyDescent="0.5">
      <c r="A209" s="228">
        <f t="shared" si="18"/>
        <v>43373.613573624083</v>
      </c>
      <c r="B209" s="228">
        <f ca="1">PROBLEMA!$F$84/(E209/IF(Tipo_Seccion_Ale=$J$17,12^0.5,4))</f>
        <v>68.085106382978722</v>
      </c>
      <c r="C209" s="229">
        <f t="shared" ca="1" si="19"/>
        <v>1.42</v>
      </c>
      <c r="D209" s="230">
        <f t="shared" ca="1" si="20"/>
        <v>30544.798291284565</v>
      </c>
      <c r="E209" s="231">
        <f t="shared" si="24"/>
        <v>235</v>
      </c>
      <c r="G209" s="232">
        <f t="shared" ca="1" si="21"/>
        <v>62015.824380025915</v>
      </c>
      <c r="H209" s="158">
        <f ca="1">PROBLEMA!$E$105/G209*K209</f>
        <v>12.788890705376907</v>
      </c>
      <c r="I209" s="158">
        <f t="shared" ca="1" si="22"/>
        <v>281</v>
      </c>
      <c r="J209" s="233">
        <f ca="1">PROBLEMA!$F$102/(I209/IF(Tipo_Seccion_Ale=$J$17,12^0.5,4))</f>
        <v>56.939501779359432</v>
      </c>
      <c r="K209" s="234">
        <f t="shared" ca="1" si="23"/>
        <v>1.28</v>
      </c>
    </row>
    <row r="210" spans="1:11" x14ac:dyDescent="0.5">
      <c r="A210" s="228">
        <f t="shared" si="18"/>
        <v>43743.536108584281</v>
      </c>
      <c r="B210" s="228">
        <f ca="1">PROBLEMA!$F$84/(E210/IF(Tipo_Seccion_Ale=$J$17,12^0.5,4))</f>
        <v>67.79661016949153</v>
      </c>
      <c r="C210" s="229">
        <f t="shared" ca="1" si="19"/>
        <v>1.41</v>
      </c>
      <c r="D210" s="230">
        <f t="shared" ca="1" si="20"/>
        <v>31023.784474173252</v>
      </c>
      <c r="E210" s="231">
        <f t="shared" si="24"/>
        <v>236</v>
      </c>
      <c r="G210" s="232">
        <f t="shared" ca="1" si="21"/>
        <v>62458.003546018677</v>
      </c>
      <c r="H210" s="158">
        <f ca="1">PROBLEMA!$E$105/G210*K210</f>
        <v>12.698350170857427</v>
      </c>
      <c r="I210" s="158">
        <f t="shared" ca="1" si="22"/>
        <v>282</v>
      </c>
      <c r="J210" s="233">
        <f ca="1">PROBLEMA!$F$102/(I210/IF(Tipo_Seccion_Ale=$J$17,12^0.5,4))</f>
        <v>56.737588652482266</v>
      </c>
      <c r="K210" s="234">
        <f t="shared" ca="1" si="23"/>
        <v>1.28</v>
      </c>
    </row>
    <row r="211" spans="1:11" x14ac:dyDescent="0.5">
      <c r="A211" s="228">
        <f t="shared" si="18"/>
        <v>44115.029439871272</v>
      </c>
      <c r="B211" s="228">
        <f ca="1">PROBLEMA!$F$84/(E211/IF(Tipo_Seccion_Ale=$J$17,12^0.5,4))</f>
        <v>67.510548523206751</v>
      </c>
      <c r="C211" s="229">
        <f t="shared" ca="1" si="19"/>
        <v>1.41</v>
      </c>
      <c r="D211" s="230">
        <f t="shared" ca="1" si="20"/>
        <v>31287.254921894521</v>
      </c>
      <c r="E211" s="231">
        <f t="shared" si="24"/>
        <v>237</v>
      </c>
      <c r="G211" s="232">
        <f t="shared" ca="1" si="21"/>
        <v>62901.753508338232</v>
      </c>
      <c r="H211" s="158">
        <f ca="1">PROBLEMA!$E$105/G211*K211</f>
        <v>12.608767733237599</v>
      </c>
      <c r="I211" s="158">
        <f t="shared" ca="1" si="22"/>
        <v>283</v>
      </c>
      <c r="J211" s="233">
        <f ca="1">PROBLEMA!$F$102/(I211/IF(Tipo_Seccion_Ale=$J$17,12^0.5,4))</f>
        <v>56.53710247349823</v>
      </c>
      <c r="K211" s="234">
        <f t="shared" ca="1" si="23"/>
        <v>1.28</v>
      </c>
    </row>
    <row r="212" spans="1:11" x14ac:dyDescent="0.5">
      <c r="A212" s="228">
        <f t="shared" si="18"/>
        <v>44488.093567485063</v>
      </c>
      <c r="B212" s="228">
        <f ca="1">PROBLEMA!$F$84/(E212/IF(Tipo_Seccion_Ale=$J$17,12^0.5,4))</f>
        <v>67.226890756302524</v>
      </c>
      <c r="C212" s="229">
        <f t="shared" ca="1" si="19"/>
        <v>1.41</v>
      </c>
      <c r="D212" s="230">
        <f t="shared" ca="1" si="20"/>
        <v>31551.839409563876</v>
      </c>
      <c r="E212" s="231">
        <f t="shared" si="24"/>
        <v>238</v>
      </c>
      <c r="G212" s="232">
        <f t="shared" ca="1" si="21"/>
        <v>63347.074266984586</v>
      </c>
      <c r="H212" s="158">
        <f ca="1">PROBLEMA!$E$105/G212*K212</f>
        <v>12.520129921980583</v>
      </c>
      <c r="I212" s="158">
        <f t="shared" ca="1" si="22"/>
        <v>284</v>
      </c>
      <c r="J212" s="233">
        <f ca="1">PROBLEMA!$F$102/(I212/IF(Tipo_Seccion_Ale=$J$17,12^0.5,4))</f>
        <v>56.338028169014088</v>
      </c>
      <c r="K212" s="234">
        <f t="shared" ca="1" si="23"/>
        <v>1.28</v>
      </c>
    </row>
    <row r="213" spans="1:11" x14ac:dyDescent="0.5">
      <c r="A213" s="228">
        <f t="shared" si="18"/>
        <v>44862.728491425645</v>
      </c>
      <c r="B213" s="228">
        <f ca="1">PROBLEMA!$F$84/(E213/IF(Tipo_Seccion_Ale=$J$17,12^0.5,4))</f>
        <v>66.945606694560666</v>
      </c>
      <c r="C213" s="229">
        <f t="shared" ca="1" si="19"/>
        <v>1.4</v>
      </c>
      <c r="D213" s="230">
        <f t="shared" ca="1" si="20"/>
        <v>32044.806065304034</v>
      </c>
      <c r="E213" s="231">
        <f t="shared" si="24"/>
        <v>239</v>
      </c>
      <c r="G213" s="232">
        <f t="shared" ca="1" si="21"/>
        <v>63793.96582195774</v>
      </c>
      <c r="H213" s="158">
        <f ca="1">PROBLEMA!$E$105/G213*K213</f>
        <v>12.432423502459415</v>
      </c>
      <c r="I213" s="158">
        <f t="shared" ca="1" si="22"/>
        <v>285</v>
      </c>
      <c r="J213" s="233">
        <f ca="1">PROBLEMA!$F$102/(I213/IF(Tipo_Seccion_Ale=$J$17,12^0.5,4))</f>
        <v>56.140350877192979</v>
      </c>
      <c r="K213" s="234">
        <f t="shared" ca="1" si="23"/>
        <v>1.28</v>
      </c>
    </row>
    <row r="214" spans="1:11" x14ac:dyDescent="0.5">
      <c r="A214" s="228">
        <f t="shared" si="18"/>
        <v>45238.93421169302</v>
      </c>
      <c r="B214" s="228">
        <f ca="1">PROBLEMA!$F$84/(E214/IF(Tipo_Seccion_Ale=$J$17,12^0.5,4))</f>
        <v>66.666666666666671</v>
      </c>
      <c r="C214" s="229">
        <f t="shared" ca="1" si="19"/>
        <v>1.4</v>
      </c>
      <c r="D214" s="230">
        <f t="shared" ca="1" si="20"/>
        <v>32313.524436923588</v>
      </c>
      <c r="E214" s="231">
        <f t="shared" si="24"/>
        <v>240</v>
      </c>
      <c r="G214" s="232">
        <f t="shared" ca="1" si="21"/>
        <v>64242.428173257678</v>
      </c>
      <c r="H214" s="158">
        <f ca="1">PROBLEMA!$E$105/G214*K214</f>
        <v>12.249185193899187</v>
      </c>
      <c r="I214" s="158">
        <f t="shared" ca="1" si="22"/>
        <v>286</v>
      </c>
      <c r="J214" s="233">
        <f ca="1">PROBLEMA!$F$102/(I214/IF(Tipo_Seccion_Ale=$J$17,12^0.5,4))</f>
        <v>55.944055944055947</v>
      </c>
      <c r="K214" s="234">
        <f t="shared" ca="1" si="23"/>
        <v>1.27</v>
      </c>
    </row>
    <row r="215" spans="1:11" x14ac:dyDescent="0.5">
      <c r="A215" s="228">
        <f t="shared" si="18"/>
        <v>45616.710728287195</v>
      </c>
      <c r="B215" s="228">
        <f ca="1">PROBLEMA!$F$84/(E215/IF(Tipo_Seccion_Ale=$J$17,12^0.5,4))</f>
        <v>66.390041493775939</v>
      </c>
      <c r="C215" s="229">
        <f t="shared" ca="1" si="19"/>
        <v>1.4</v>
      </c>
      <c r="D215" s="230">
        <f t="shared" ca="1" si="20"/>
        <v>32583.364805919427</v>
      </c>
      <c r="E215" s="231">
        <f t="shared" si="24"/>
        <v>241</v>
      </c>
      <c r="G215" s="232">
        <f t="shared" ca="1" si="21"/>
        <v>64692.461320884417</v>
      </c>
      <c r="H215" s="158">
        <f ca="1">PROBLEMA!$E$105/G215*K215</f>
        <v>12.163973729439206</v>
      </c>
      <c r="I215" s="158">
        <f t="shared" ca="1" si="22"/>
        <v>287</v>
      </c>
      <c r="J215" s="233">
        <f ca="1">PROBLEMA!$F$102/(I215/IF(Tipo_Seccion_Ale=$J$17,12^0.5,4))</f>
        <v>55.749128919860624</v>
      </c>
      <c r="K215" s="234">
        <f t="shared" ca="1" si="23"/>
        <v>1.27</v>
      </c>
    </row>
    <row r="216" spans="1:11" x14ac:dyDescent="0.5">
      <c r="A216" s="228">
        <f t="shared" si="18"/>
        <v>45996.058041208162</v>
      </c>
      <c r="B216" s="228">
        <f ca="1">PROBLEMA!$F$84/(E216/IF(Tipo_Seccion_Ale=$J$17,12^0.5,4))</f>
        <v>66.115702479338836</v>
      </c>
      <c r="C216" s="229">
        <f t="shared" ca="1" si="19"/>
        <v>1.4</v>
      </c>
      <c r="D216" s="230">
        <f t="shared" ca="1" si="20"/>
        <v>32854.327172291545</v>
      </c>
      <c r="E216" s="231">
        <f t="shared" si="24"/>
        <v>242</v>
      </c>
      <c r="G216" s="232">
        <f t="shared" ca="1" si="21"/>
        <v>65144.065264837947</v>
      </c>
      <c r="H216" s="158">
        <f ca="1">PROBLEMA!$E$105/G216*K216</f>
        <v>12.079648342498286</v>
      </c>
      <c r="I216" s="158">
        <f t="shared" ca="1" si="22"/>
        <v>288</v>
      </c>
      <c r="J216" s="233">
        <f ca="1">PROBLEMA!$F$102/(I216/IF(Tipo_Seccion_Ale=$J$17,12^0.5,4))</f>
        <v>55.555555555555557</v>
      </c>
      <c r="K216" s="234">
        <f t="shared" ca="1" si="23"/>
        <v>1.27</v>
      </c>
    </row>
    <row r="217" spans="1:11" x14ac:dyDescent="0.5">
      <c r="A217" s="228">
        <f t="shared" si="18"/>
        <v>46376.976150455921</v>
      </c>
      <c r="B217" s="228">
        <f ca="1">PROBLEMA!$F$84/(E217/IF(Tipo_Seccion_Ale=$J$17,12^0.5,4))</f>
        <v>65.843621399176953</v>
      </c>
      <c r="C217" s="229">
        <f t="shared" ca="1" si="19"/>
        <v>1.38</v>
      </c>
      <c r="D217" s="230">
        <f t="shared" ca="1" si="20"/>
        <v>33606.504456852119</v>
      </c>
      <c r="E217" s="231">
        <f t="shared" si="24"/>
        <v>243</v>
      </c>
      <c r="G217" s="232">
        <f t="shared" ca="1" si="21"/>
        <v>65597.240005118278</v>
      </c>
      <c r="H217" s="158">
        <f ca="1">PROBLEMA!$E$105/G217*K217</f>
        <v>11.996196790270448</v>
      </c>
      <c r="I217" s="158">
        <f t="shared" ca="1" si="22"/>
        <v>289</v>
      </c>
      <c r="J217" s="233">
        <f ca="1">PROBLEMA!$F$102/(I217/IF(Tipo_Seccion_Ale=$J$17,12^0.5,4))</f>
        <v>55.363321799307961</v>
      </c>
      <c r="K217" s="234">
        <f t="shared" ca="1" si="23"/>
        <v>1.27</v>
      </c>
    </row>
    <row r="218" spans="1:11" x14ac:dyDescent="0.5">
      <c r="A218" s="228">
        <f t="shared" si="18"/>
        <v>46759.46505603048</v>
      </c>
      <c r="B218" s="228">
        <f ca="1">PROBLEMA!$F$84/(E218/IF(Tipo_Seccion_Ale=$J$17,12^0.5,4))</f>
        <v>65.573770491803273</v>
      </c>
      <c r="C218" s="229">
        <f t="shared" ca="1" si="19"/>
        <v>1.38</v>
      </c>
      <c r="D218" s="230">
        <f t="shared" ca="1" si="20"/>
        <v>33883.670330456873</v>
      </c>
      <c r="E218" s="231">
        <f t="shared" si="24"/>
        <v>244</v>
      </c>
      <c r="G218" s="232">
        <f t="shared" ca="1" si="21"/>
        <v>66051.9855417254</v>
      </c>
      <c r="H218" s="158">
        <f ca="1">PROBLEMA!$E$105/G218*K218</f>
        <v>11.913607040667989</v>
      </c>
      <c r="I218" s="158">
        <f t="shared" ca="1" si="22"/>
        <v>290</v>
      </c>
      <c r="J218" s="233">
        <f ca="1">PROBLEMA!$F$102/(I218/IF(Tipo_Seccion_Ale=$J$17,12^0.5,4))</f>
        <v>55.172413793103445</v>
      </c>
      <c r="K218" s="234">
        <f t="shared" ca="1" si="23"/>
        <v>1.27</v>
      </c>
    </row>
    <row r="219" spans="1:11" x14ac:dyDescent="0.5">
      <c r="A219" s="228">
        <f t="shared" si="18"/>
        <v>47143.524757931831</v>
      </c>
      <c r="B219" s="228">
        <f ca="1">PROBLEMA!$F$84/(E219/IF(Tipo_Seccion_Ale=$J$17,12^0.5,4))</f>
        <v>65.306122448979593</v>
      </c>
      <c r="C219" s="229">
        <f t="shared" ca="1" si="19"/>
        <v>1.38</v>
      </c>
      <c r="D219" s="230">
        <f t="shared" ca="1" si="20"/>
        <v>34161.974462269449</v>
      </c>
      <c r="E219" s="231">
        <f t="shared" si="24"/>
        <v>245</v>
      </c>
      <c r="G219" s="232">
        <f t="shared" ca="1" si="21"/>
        <v>66508.301874659315</v>
      </c>
      <c r="H219" s="158">
        <f ca="1">PROBLEMA!$E$105/G219*K219</f>
        <v>11.738702958787568</v>
      </c>
      <c r="I219" s="158">
        <f t="shared" ca="1" si="22"/>
        <v>291</v>
      </c>
      <c r="J219" s="233">
        <f ca="1">PROBLEMA!$F$102/(I219/IF(Tipo_Seccion_Ale=$J$17,12^0.5,4))</f>
        <v>54.982817869415804</v>
      </c>
      <c r="K219" s="234">
        <f t="shared" ca="1" si="23"/>
        <v>1.26</v>
      </c>
    </row>
    <row r="220" spans="1:11" x14ac:dyDescent="0.5">
      <c r="A220" s="228">
        <f t="shared" si="18"/>
        <v>47529.155256159982</v>
      </c>
      <c r="B220" s="228">
        <f ca="1">PROBLEMA!$F$84/(E220/IF(Tipo_Seccion_Ale=$J$17,12^0.5,4))</f>
        <v>65.040650406504071</v>
      </c>
      <c r="C220" s="229">
        <f t="shared" ca="1" si="19"/>
        <v>1.38</v>
      </c>
      <c r="D220" s="230">
        <f t="shared" ca="1" si="20"/>
        <v>34441.416852289847</v>
      </c>
      <c r="E220" s="231">
        <f t="shared" si="24"/>
        <v>246</v>
      </c>
      <c r="G220" s="232">
        <f t="shared" ca="1" si="21"/>
        <v>66966.189003920037</v>
      </c>
      <c r="H220" s="158">
        <f ca="1">PROBLEMA!$E$105/G220*K220</f>
        <v>11.658438558513438</v>
      </c>
      <c r="I220" s="158">
        <f t="shared" ca="1" si="22"/>
        <v>292</v>
      </c>
      <c r="J220" s="233">
        <f ca="1">PROBLEMA!$F$102/(I220/IF(Tipo_Seccion_Ale=$J$17,12^0.5,4))</f>
        <v>54.794520547945204</v>
      </c>
      <c r="K220" s="234">
        <f t="shared" ca="1" si="23"/>
        <v>1.26</v>
      </c>
    </row>
    <row r="221" spans="1:11" x14ac:dyDescent="0.5">
      <c r="A221" s="228">
        <f t="shared" si="18"/>
        <v>47916.356550714925</v>
      </c>
      <c r="B221" s="228">
        <f ca="1">PROBLEMA!$F$84/(E221/IF(Tipo_Seccion_Ale=$J$17,12^0.5,4))</f>
        <v>64.777327935222672</v>
      </c>
      <c r="C221" s="229">
        <f t="shared" ca="1" si="19"/>
        <v>1.37</v>
      </c>
      <c r="D221" s="230">
        <f t="shared" ca="1" si="20"/>
        <v>34975.442737748119</v>
      </c>
      <c r="E221" s="231">
        <f t="shared" si="24"/>
        <v>247</v>
      </c>
      <c r="G221" s="232">
        <f t="shared" ca="1" si="21"/>
        <v>67425.646929507537</v>
      </c>
      <c r="H221" s="158">
        <f ca="1">PROBLEMA!$E$105/G221*K221</f>
        <v>11.578994574812636</v>
      </c>
      <c r="I221" s="158">
        <f t="shared" ca="1" si="22"/>
        <v>293</v>
      </c>
      <c r="J221" s="233">
        <f ca="1">PROBLEMA!$F$102/(I221/IF(Tipo_Seccion_Ale=$J$17,12^0.5,4))</f>
        <v>54.607508532423211</v>
      </c>
      <c r="K221" s="234">
        <f t="shared" ca="1" si="23"/>
        <v>1.26</v>
      </c>
    </row>
    <row r="222" spans="1:11" x14ac:dyDescent="0.5">
      <c r="A222" s="228">
        <f t="shared" si="18"/>
        <v>48305.128641596661</v>
      </c>
      <c r="B222" s="228">
        <f ca="1">PROBLEMA!$F$84/(E222/IF(Tipo_Seccion_Ale=$J$17,12^0.5,4))</f>
        <v>64.516129032258064</v>
      </c>
      <c r="C222" s="229">
        <f t="shared" ca="1" si="19"/>
        <v>1.37</v>
      </c>
      <c r="D222" s="230">
        <f t="shared" ca="1" si="20"/>
        <v>35259.217986566902</v>
      </c>
      <c r="E222" s="231">
        <f t="shared" si="24"/>
        <v>248</v>
      </c>
      <c r="G222" s="232">
        <f t="shared" ca="1" si="21"/>
        <v>67886.675651421843</v>
      </c>
      <c r="H222" s="158">
        <f ca="1">PROBLEMA!$E$105/G222*K222</f>
        <v>11.500359864559789</v>
      </c>
      <c r="I222" s="158">
        <f t="shared" ca="1" si="22"/>
        <v>294</v>
      </c>
      <c r="J222" s="233">
        <f ca="1">PROBLEMA!$F$102/(I222/IF(Tipo_Seccion_Ale=$J$17,12^0.5,4))</f>
        <v>54.42176870748299</v>
      </c>
      <c r="K222" s="234">
        <f t="shared" ca="1" si="23"/>
        <v>1.26</v>
      </c>
    </row>
    <row r="223" spans="1:11" x14ac:dyDescent="0.5">
      <c r="A223" s="228">
        <f t="shared" si="18"/>
        <v>48695.471528805188</v>
      </c>
      <c r="B223" s="228">
        <f ca="1">PROBLEMA!$F$84/(E223/IF(Tipo_Seccion_Ale=$J$17,12^0.5,4))</f>
        <v>64.257028112449802</v>
      </c>
      <c r="C223" s="229">
        <f t="shared" ca="1" si="19"/>
        <v>1.37</v>
      </c>
      <c r="D223" s="230">
        <f t="shared" ca="1" si="20"/>
        <v>35544.139802047583</v>
      </c>
      <c r="E223" s="231">
        <f t="shared" si="24"/>
        <v>249</v>
      </c>
      <c r="G223" s="232">
        <f t="shared" ca="1" si="21"/>
        <v>68349.275169662942</v>
      </c>
      <c r="H223" s="158">
        <f ca="1">PROBLEMA!$E$105/G223*K223</f>
        <v>11.422523473175408</v>
      </c>
      <c r="I223" s="158">
        <f t="shared" ca="1" si="22"/>
        <v>295</v>
      </c>
      <c r="J223" s="233">
        <f ca="1">PROBLEMA!$F$102/(I223/IF(Tipo_Seccion_Ale=$J$17,12^0.5,4))</f>
        <v>54.237288135593218</v>
      </c>
      <c r="K223" s="234">
        <f t="shared" ca="1" si="23"/>
        <v>1.26</v>
      </c>
    </row>
    <row r="224" spans="1:11" x14ac:dyDescent="0.5">
      <c r="A224" s="228">
        <f t="shared" si="18"/>
        <v>49087.385212340516</v>
      </c>
      <c r="B224" s="228">
        <f ca="1">PROBLEMA!$F$84/(E224/IF(Tipo_Seccion_Ale=$J$17,12^0.5,4))</f>
        <v>64</v>
      </c>
      <c r="C224" s="229">
        <f t="shared" ca="1" si="19"/>
        <v>1.36</v>
      </c>
      <c r="D224" s="230">
        <f t="shared" ca="1" si="20"/>
        <v>36093.665597309198</v>
      </c>
      <c r="E224" s="231">
        <f t="shared" si="24"/>
        <v>250</v>
      </c>
      <c r="G224" s="232">
        <f t="shared" ca="1" si="21"/>
        <v>68813.445484230833</v>
      </c>
      <c r="H224" s="158">
        <f ca="1">PROBLEMA!$E$105/G224*K224</f>
        <v>11.345474630810466</v>
      </c>
      <c r="I224" s="158">
        <f t="shared" ca="1" si="22"/>
        <v>296</v>
      </c>
      <c r="J224" s="233">
        <f ca="1">PROBLEMA!$F$102/(I224/IF(Tipo_Seccion_Ale=$J$17,12^0.5,4))</f>
        <v>54.054054054054056</v>
      </c>
      <c r="K224" s="234">
        <f t="shared" ca="1" si="23"/>
        <v>1.26</v>
      </c>
    </row>
    <row r="225" spans="1:11" x14ac:dyDescent="0.5">
      <c r="A225" s="228">
        <f t="shared" si="18"/>
        <v>49480.869692202636</v>
      </c>
      <c r="B225" s="228">
        <f ca="1">PROBLEMA!$F$84/(E225/IF(Tipo_Seccion_Ale=$J$17,12^0.5,4))</f>
        <v>63.745019920318725</v>
      </c>
      <c r="C225" s="229">
        <f t="shared" ca="1" si="19"/>
        <v>1.36</v>
      </c>
      <c r="D225" s="230">
        <f t="shared" ca="1" si="20"/>
        <v>36382.992420737231</v>
      </c>
      <c r="E225" s="231">
        <f t="shared" si="24"/>
        <v>251</v>
      </c>
      <c r="G225" s="232">
        <f t="shared" ca="1" si="21"/>
        <v>69279.186595125517</v>
      </c>
      <c r="H225" s="158">
        <f ca="1">PROBLEMA!$E$105/G225*K225</f>
        <v>11.179764631568229</v>
      </c>
      <c r="I225" s="158">
        <f t="shared" ca="1" si="22"/>
        <v>297</v>
      </c>
      <c r="J225" s="233">
        <f ca="1">PROBLEMA!$F$102/(I225/IF(Tipo_Seccion_Ale=$J$17,12^0.5,4))</f>
        <v>53.872053872053876</v>
      </c>
      <c r="K225" s="234">
        <f t="shared" ca="1" si="23"/>
        <v>1.25</v>
      </c>
    </row>
    <row r="226" spans="1:11" x14ac:dyDescent="0.5">
      <c r="A226" s="228">
        <f t="shared" si="18"/>
        <v>49875.924968391555</v>
      </c>
      <c r="B226" s="228">
        <f ca="1">PROBLEMA!$F$84/(E226/IF(Tipo_Seccion_Ale=$J$17,12^0.5,4))</f>
        <v>63.492063492063494</v>
      </c>
      <c r="C226" s="229">
        <f t="shared" ca="1" si="19"/>
        <v>1.36</v>
      </c>
      <c r="D226" s="230">
        <f t="shared" ca="1" si="20"/>
        <v>36673.474241464377</v>
      </c>
      <c r="E226" s="231">
        <f t="shared" si="24"/>
        <v>252</v>
      </c>
      <c r="G226" s="232">
        <f t="shared" ca="1" si="21"/>
        <v>69746.498502346993</v>
      </c>
      <c r="H226" s="158">
        <f ca="1">PROBLEMA!$E$105/G226*K226</f>
        <v>11.104858546754672</v>
      </c>
      <c r="I226" s="158">
        <f t="shared" ca="1" si="22"/>
        <v>298</v>
      </c>
      <c r="J226" s="233">
        <f ca="1">PROBLEMA!$F$102/(I226/IF(Tipo_Seccion_Ale=$J$17,12^0.5,4))</f>
        <v>53.691275167785236</v>
      </c>
      <c r="K226" s="234">
        <f t="shared" ca="1" si="23"/>
        <v>1.25</v>
      </c>
    </row>
    <row r="227" spans="1:11" x14ac:dyDescent="0.5">
      <c r="A227" s="228">
        <f t="shared" si="18"/>
        <v>50272.551040907267</v>
      </c>
      <c r="B227" s="228">
        <f ca="1">PROBLEMA!$F$84/(E227/IF(Tipo_Seccion_Ale=$J$17,12^0.5,4))</f>
        <v>63.241106719367586</v>
      </c>
      <c r="C227" s="229">
        <f t="shared" ca="1" si="19"/>
        <v>1.36</v>
      </c>
      <c r="D227" s="230">
        <f t="shared" ca="1" si="20"/>
        <v>36965.111059490635</v>
      </c>
      <c r="E227" s="231">
        <f t="shared" si="24"/>
        <v>253</v>
      </c>
      <c r="G227" s="232">
        <f t="shared" ca="1" si="21"/>
        <v>70215.381205895275</v>
      </c>
      <c r="H227" s="158">
        <f ca="1">PROBLEMA!$E$105/G227*K227</f>
        <v>11.030702770505945</v>
      </c>
      <c r="I227" s="158">
        <f t="shared" ca="1" si="22"/>
        <v>299</v>
      </c>
      <c r="J227" s="233">
        <f ca="1">PROBLEMA!$F$102/(I227/IF(Tipo_Seccion_Ale=$J$17,12^0.5,4))</f>
        <v>53.511705685618729</v>
      </c>
      <c r="K227" s="234">
        <f t="shared" ca="1" si="23"/>
        <v>1.25</v>
      </c>
    </row>
    <row r="228" spans="1:11" x14ac:dyDescent="0.5">
      <c r="A228" s="228">
        <f t="shared" si="18"/>
        <v>50670.747909749771</v>
      </c>
      <c r="B228" s="228">
        <f ca="1">PROBLEMA!$F$84/(E228/IF(Tipo_Seccion_Ale=$J$17,12^0.5,4))</f>
        <v>62.99212598425197</v>
      </c>
      <c r="C228" s="229">
        <f t="shared" ca="1" si="19"/>
        <v>1.35</v>
      </c>
      <c r="D228" s="230">
        <f t="shared" ca="1" si="20"/>
        <v>37533.887340555382</v>
      </c>
      <c r="E228" s="231">
        <f t="shared" si="24"/>
        <v>254</v>
      </c>
      <c r="G228" s="232">
        <f t="shared" ca="1" si="21"/>
        <v>70685.83470577035</v>
      </c>
      <c r="H228" s="158">
        <f ca="1">PROBLEMA!$E$105/G228*K228</f>
        <v>10.95728731540002</v>
      </c>
      <c r="I228" s="158">
        <f t="shared" ca="1" si="22"/>
        <v>300</v>
      </c>
      <c r="J228" s="233">
        <f ca="1">PROBLEMA!$F$102/(I228/IF(Tipo_Seccion_Ale=$J$17,12^0.5,4))</f>
        <v>53.333333333333336</v>
      </c>
      <c r="K228" s="234">
        <f t="shared" ca="1" si="23"/>
        <v>1.25</v>
      </c>
    </row>
    <row r="229" spans="1:11" x14ac:dyDescent="0.5">
      <c r="A229" s="228">
        <f t="shared" si="18"/>
        <v>51070.515574919074</v>
      </c>
      <c r="B229" s="228">
        <f ca="1">PROBLEMA!$F$84/(E229/IF(Tipo_Seccion_Ale=$J$17,12^0.5,4))</f>
        <v>62.745098039215684</v>
      </c>
      <c r="C229" s="229">
        <f t="shared" ca="1" si="19"/>
        <v>1.35</v>
      </c>
      <c r="D229" s="230">
        <f t="shared" ca="1" si="20"/>
        <v>37830.011536977087</v>
      </c>
      <c r="E229" s="231">
        <f t="shared" si="24"/>
        <v>255</v>
      </c>
      <c r="G229" s="232">
        <f t="shared" ca="1" si="21"/>
        <v>71157.859001972218</v>
      </c>
      <c r="H229" s="158">
        <f ca="1">PROBLEMA!$E$105/G229*K229</f>
        <v>10.88460235964285</v>
      </c>
      <c r="I229" s="158">
        <f t="shared" ca="1" si="22"/>
        <v>301</v>
      </c>
      <c r="J229" s="233">
        <f ca="1">PROBLEMA!$F$102/(I229/IF(Tipo_Seccion_Ale=$J$17,12^0.5,4))</f>
        <v>53.156146179401993</v>
      </c>
      <c r="K229" s="234">
        <f t="shared" ca="1" si="23"/>
        <v>1.25</v>
      </c>
    </row>
    <row r="230" spans="1:11" x14ac:dyDescent="0.5">
      <c r="A230" s="228">
        <f t="shared" ref="A230:A293" si="25">E230^2*IF(Tipo_Seccion_Ale=$J$17,1,PI()/4)</f>
        <v>51471.85403641517</v>
      </c>
      <c r="B230" s="228">
        <f ca="1">PROBLEMA!$F$84/(E230/IF(Tipo_Seccion_Ale=$J$17,12^0.5,4))</f>
        <v>62.5</v>
      </c>
      <c r="C230" s="229">
        <f t="shared" ref="C230:C293" ca="1" si="26">IFERROR(VLOOKUP(ROUNDUP(B230,0),Coef_w,Tipo_Ale+1),1)</f>
        <v>1.35</v>
      </c>
      <c r="D230" s="230">
        <f t="shared" ref="D230:D293" ca="1" si="27">A230/C230</f>
        <v>38127.299286233458</v>
      </c>
      <c r="E230" s="231">
        <f t="shared" si="24"/>
        <v>256</v>
      </c>
      <c r="G230" s="232">
        <f t="shared" ref="G230:G293" ca="1" si="28">I230^2*IF(Tipo_Seccion_Ale=$J$17,1,PI()/4)</f>
        <v>71631.454094500878</v>
      </c>
      <c r="H230" s="158">
        <f ca="1">PROBLEMA!$E$105/G230*K230</f>
        <v>10.726137137832923</v>
      </c>
      <c r="I230" s="158">
        <f t="shared" ref="I230:I293" ca="1" si="29">$I$36+ROW()-36</f>
        <v>302</v>
      </c>
      <c r="J230" s="233">
        <f ca="1">PROBLEMA!$F$102/(I230/IF(Tipo_Seccion_Ale=$J$17,12^0.5,4))</f>
        <v>52.980132450331126</v>
      </c>
      <c r="K230" s="234">
        <f t="shared" ref="K230:K293" ca="1" si="30">IFERROR(VLOOKUP(ROUNDUP(J230,0),Coef_w,Tipo_Ale+1),1)</f>
        <v>1.24</v>
      </c>
    </row>
    <row r="231" spans="1:11" x14ac:dyDescent="0.5">
      <c r="A231" s="228">
        <f t="shared" si="25"/>
        <v>51874.763294238059</v>
      </c>
      <c r="B231" s="228">
        <f ca="1">PROBLEMA!$F$84/(E231/IF(Tipo_Seccion_Ale=$J$17,12^0.5,4))</f>
        <v>62.2568093385214</v>
      </c>
      <c r="C231" s="229">
        <f t="shared" ca="1" si="26"/>
        <v>1.35</v>
      </c>
      <c r="D231" s="230">
        <f t="shared" ca="1" si="27"/>
        <v>38425.750588324488</v>
      </c>
      <c r="E231" s="231">
        <f t="shared" ref="E231:E294" si="31">E230+1</f>
        <v>257</v>
      </c>
      <c r="G231" s="232">
        <f t="shared" ca="1" si="28"/>
        <v>72106.61998335633</v>
      </c>
      <c r="H231" s="158">
        <f ca="1">PROBLEMA!$E$105/G231*K231</f>
        <v>10.65545438376318</v>
      </c>
      <c r="I231" s="158">
        <f t="shared" ca="1" si="29"/>
        <v>303</v>
      </c>
      <c r="J231" s="233">
        <f ca="1">PROBLEMA!$F$102/(I231/IF(Tipo_Seccion_Ale=$J$17,12^0.5,4))</f>
        <v>52.805280528052805</v>
      </c>
      <c r="K231" s="234">
        <f t="shared" ca="1" si="30"/>
        <v>1.24</v>
      </c>
    </row>
    <row r="232" spans="1:11" x14ac:dyDescent="0.5">
      <c r="A232" s="228">
        <f t="shared" si="25"/>
        <v>52279.243348387747</v>
      </c>
      <c r="B232" s="228">
        <f ca="1">PROBLEMA!$F$84/(E232/IF(Tipo_Seccion_Ale=$J$17,12^0.5,4))</f>
        <v>62.015503875968989</v>
      </c>
      <c r="C232" s="229">
        <f t="shared" ca="1" si="26"/>
        <v>1.35</v>
      </c>
      <c r="D232" s="230">
        <f t="shared" ca="1" si="27"/>
        <v>38725.365443250179</v>
      </c>
      <c r="E232" s="231">
        <f t="shared" si="31"/>
        <v>258</v>
      </c>
      <c r="G232" s="232">
        <f t="shared" ca="1" si="28"/>
        <v>72583.356668538574</v>
      </c>
      <c r="H232" s="158">
        <f ca="1">PROBLEMA!$E$105/G232*K232</f>
        <v>10.585468008991018</v>
      </c>
      <c r="I232" s="158">
        <f t="shared" ca="1" si="29"/>
        <v>304</v>
      </c>
      <c r="J232" s="233">
        <f ca="1">PROBLEMA!$F$102/(I232/IF(Tipo_Seccion_Ale=$J$17,12^0.5,4))</f>
        <v>52.631578947368418</v>
      </c>
      <c r="K232" s="234">
        <f t="shared" ca="1" si="30"/>
        <v>1.24</v>
      </c>
    </row>
    <row r="233" spans="1:11" x14ac:dyDescent="0.5">
      <c r="A233" s="228">
        <f t="shared" si="25"/>
        <v>52685.294198864227</v>
      </c>
      <c r="B233" s="228">
        <f ca="1">PROBLEMA!$F$84/(E233/IF(Tipo_Seccion_Ale=$J$17,12^0.5,4))</f>
        <v>61.776061776061773</v>
      </c>
      <c r="C233" s="229">
        <f t="shared" ca="1" si="26"/>
        <v>1.33</v>
      </c>
      <c r="D233" s="230">
        <f t="shared" ca="1" si="27"/>
        <v>39613.003157040766</v>
      </c>
      <c r="E233" s="231">
        <f t="shared" si="31"/>
        <v>259</v>
      </c>
      <c r="G233" s="232">
        <f t="shared" ca="1" si="28"/>
        <v>73061.664150047625</v>
      </c>
      <c r="H233" s="158">
        <f ca="1">PROBLEMA!$E$105/G233*K233</f>
        <v>10.516168895661531</v>
      </c>
      <c r="I233" s="158">
        <f t="shared" ca="1" si="29"/>
        <v>305</v>
      </c>
      <c r="J233" s="233">
        <f ca="1">PROBLEMA!$F$102/(I233/IF(Tipo_Seccion_Ale=$J$17,12^0.5,4))</f>
        <v>52.459016393442624</v>
      </c>
      <c r="K233" s="234">
        <f t="shared" ca="1" si="30"/>
        <v>1.24</v>
      </c>
    </row>
    <row r="234" spans="1:11" x14ac:dyDescent="0.5">
      <c r="A234" s="228">
        <f t="shared" si="25"/>
        <v>53092.915845667507</v>
      </c>
      <c r="B234" s="228">
        <f ca="1">PROBLEMA!$F$84/(E234/IF(Tipo_Seccion_Ale=$J$17,12^0.5,4))</f>
        <v>61.53846153846154</v>
      </c>
      <c r="C234" s="229">
        <f t="shared" ca="1" si="26"/>
        <v>1.33</v>
      </c>
      <c r="D234" s="230">
        <f t="shared" ca="1" si="27"/>
        <v>39919.485598246247</v>
      </c>
      <c r="E234" s="231">
        <f t="shared" si="31"/>
        <v>260</v>
      </c>
      <c r="G234" s="235">
        <f t="shared" ca="1" si="28"/>
        <v>73541.542427883469</v>
      </c>
      <c r="H234" s="158">
        <f ca="1">PROBLEMA!$E$105/G234*K234</f>
        <v>10.447548074660535</v>
      </c>
      <c r="I234" s="158">
        <f t="shared" ca="1" si="29"/>
        <v>306</v>
      </c>
      <c r="J234" s="236">
        <f ca="1">PROBLEMA!$F$102/(I234/IF(Tipo_Seccion_Ale=$J$17,12^0.5,4))</f>
        <v>52.287581699346404</v>
      </c>
      <c r="K234" s="237">
        <f t="shared" ca="1" si="30"/>
        <v>1.24</v>
      </c>
    </row>
    <row r="235" spans="1:11" x14ac:dyDescent="0.5">
      <c r="A235" s="228">
        <f t="shared" si="25"/>
        <v>53502.108288797572</v>
      </c>
      <c r="B235" s="228">
        <f ca="1">PROBLEMA!$F$84/(E235/IF(Tipo_Seccion_Ale=$J$17,12^0.5,4))</f>
        <v>61.302681992337163</v>
      </c>
      <c r="C235" s="229">
        <f t="shared" ca="1" si="26"/>
        <v>1.33</v>
      </c>
      <c r="D235" s="230">
        <f t="shared" ca="1" si="27"/>
        <v>40227.14908932148</v>
      </c>
      <c r="E235" s="231">
        <f t="shared" si="31"/>
        <v>261</v>
      </c>
      <c r="G235" s="232">
        <f t="shared" ca="1" si="28"/>
        <v>74022.991502046105</v>
      </c>
      <c r="H235" s="158">
        <f ca="1">PROBLEMA!$E$105/G235*K235</f>
        <v>10.379596722712325</v>
      </c>
      <c r="I235" s="158">
        <f t="shared" ca="1" si="29"/>
        <v>307</v>
      </c>
      <c r="J235" s="233">
        <f ca="1">PROBLEMA!$F$102/(I235/IF(Tipo_Seccion_Ale=$J$17,12^0.5,4))</f>
        <v>52.11726384364821</v>
      </c>
      <c r="K235" s="234">
        <f t="shared" ca="1" si="30"/>
        <v>1.24</v>
      </c>
    </row>
    <row r="236" spans="1:11" x14ac:dyDescent="0.5">
      <c r="A236" s="228">
        <f t="shared" si="25"/>
        <v>53912.871528254436</v>
      </c>
      <c r="B236" s="228">
        <f ca="1">PROBLEMA!$F$84/(E236/IF(Tipo_Seccion_Ale=$J$17,12^0.5,4))</f>
        <v>61.068702290076338</v>
      </c>
      <c r="C236" s="229">
        <f t="shared" ca="1" si="26"/>
        <v>1.33</v>
      </c>
      <c r="D236" s="230">
        <f t="shared" ca="1" si="27"/>
        <v>40535.993630266494</v>
      </c>
      <c r="E236" s="231">
        <f t="shared" si="31"/>
        <v>262</v>
      </c>
      <c r="G236" s="232">
        <f t="shared" ca="1" si="28"/>
        <v>74506.011372535533</v>
      </c>
      <c r="H236" s="158">
        <f ca="1">PROBLEMA!$E$105/G236*K236</f>
        <v>10.229142400192126</v>
      </c>
      <c r="I236" s="158">
        <f t="shared" ca="1" si="29"/>
        <v>308</v>
      </c>
      <c r="J236" s="233">
        <f ca="1">PROBLEMA!$F$102/(I236/IF(Tipo_Seccion_Ale=$J$17,12^0.5,4))</f>
        <v>51.948051948051948</v>
      </c>
      <c r="K236" s="234">
        <f t="shared" ca="1" si="30"/>
        <v>1.23</v>
      </c>
    </row>
    <row r="237" spans="1:11" x14ac:dyDescent="0.5">
      <c r="A237" s="228">
        <f t="shared" si="25"/>
        <v>54325.2055640381</v>
      </c>
      <c r="B237" s="228">
        <f ca="1">PROBLEMA!$F$84/(E237/IF(Tipo_Seccion_Ale=$J$17,12^0.5,4))</f>
        <v>60.836501901140686</v>
      </c>
      <c r="C237" s="229">
        <f t="shared" ca="1" si="26"/>
        <v>1.32</v>
      </c>
      <c r="D237" s="230">
        <f t="shared" ca="1" si="27"/>
        <v>41155.458760634923</v>
      </c>
      <c r="E237" s="231">
        <f t="shared" si="31"/>
        <v>263</v>
      </c>
      <c r="G237" s="232">
        <f t="shared" ca="1" si="28"/>
        <v>74990.602039351754</v>
      </c>
      <c r="H237" s="158">
        <f ca="1">PROBLEMA!$E$105/G237*K237</f>
        <v>10.163041491520051</v>
      </c>
      <c r="I237" s="158">
        <f t="shared" ca="1" si="29"/>
        <v>309</v>
      </c>
      <c r="J237" s="233">
        <f ca="1">PROBLEMA!$F$102/(I237/IF(Tipo_Seccion_Ale=$J$17,12^0.5,4))</f>
        <v>51.779935275080909</v>
      </c>
      <c r="K237" s="234">
        <f t="shared" ca="1" si="30"/>
        <v>1.23</v>
      </c>
    </row>
    <row r="238" spans="1:11" x14ac:dyDescent="0.5">
      <c r="A238" s="228">
        <f t="shared" si="25"/>
        <v>54739.110396148557</v>
      </c>
      <c r="B238" s="228">
        <f ca="1">PROBLEMA!$F$84/(E238/IF(Tipo_Seccion_Ale=$J$17,12^0.5,4))</f>
        <v>60.606060606060609</v>
      </c>
      <c r="C238" s="229">
        <f t="shared" ca="1" si="26"/>
        <v>1.32</v>
      </c>
      <c r="D238" s="230">
        <f t="shared" ca="1" si="27"/>
        <v>41469.023027385265</v>
      </c>
      <c r="E238" s="231">
        <f t="shared" si="31"/>
        <v>264</v>
      </c>
      <c r="G238" s="232">
        <f t="shared" ca="1" si="28"/>
        <v>75476.763502494781</v>
      </c>
      <c r="H238" s="158">
        <f ca="1">PROBLEMA!$E$105/G238*K238</f>
        <v>10.097579236751571</v>
      </c>
      <c r="I238" s="158">
        <f t="shared" ca="1" si="29"/>
        <v>310</v>
      </c>
      <c r="J238" s="233">
        <f ca="1">PROBLEMA!$F$102/(I238/IF(Tipo_Seccion_Ale=$J$17,12^0.5,4))</f>
        <v>51.612903225806448</v>
      </c>
      <c r="K238" s="234">
        <f t="shared" ca="1" si="30"/>
        <v>1.23</v>
      </c>
    </row>
    <row r="239" spans="1:11" x14ac:dyDescent="0.5">
      <c r="A239" s="228">
        <f t="shared" si="25"/>
        <v>55154.586024585806</v>
      </c>
      <c r="B239" s="228">
        <f ca="1">PROBLEMA!$F$84/(E239/IF(Tipo_Seccion_Ale=$J$17,12^0.5,4))</f>
        <v>60.377358490566039</v>
      </c>
      <c r="C239" s="229">
        <f t="shared" ca="1" si="26"/>
        <v>1.32</v>
      </c>
      <c r="D239" s="230">
        <f t="shared" ca="1" si="27"/>
        <v>41783.777291352882</v>
      </c>
      <c r="E239" s="231">
        <f t="shared" si="31"/>
        <v>265</v>
      </c>
      <c r="G239" s="232">
        <f t="shared" ca="1" si="28"/>
        <v>75964.495761964601</v>
      </c>
      <c r="H239" s="158">
        <f ca="1">PROBLEMA!$E$105/G239*K239</f>
        <v>10.032747434908922</v>
      </c>
      <c r="I239" s="158">
        <f t="shared" ca="1" si="29"/>
        <v>311</v>
      </c>
      <c r="J239" s="233">
        <f ca="1">PROBLEMA!$F$102/(I239/IF(Tipo_Seccion_Ale=$J$17,12^0.5,4))</f>
        <v>51.446945337620576</v>
      </c>
      <c r="K239" s="234">
        <f t="shared" ca="1" si="30"/>
        <v>1.23</v>
      </c>
    </row>
    <row r="240" spans="1:11" x14ac:dyDescent="0.5">
      <c r="A240" s="228">
        <f t="shared" si="25"/>
        <v>55571.632449349847</v>
      </c>
      <c r="B240" s="228">
        <f ca="1">PROBLEMA!$F$84/(E240/IF(Tipo_Seccion_Ale=$J$17,12^0.5,4))</f>
        <v>60.150375939849624</v>
      </c>
      <c r="C240" s="229">
        <f t="shared" ca="1" si="26"/>
        <v>1.32</v>
      </c>
      <c r="D240" s="230">
        <f t="shared" ca="1" si="27"/>
        <v>42099.721552537761</v>
      </c>
      <c r="E240" s="231">
        <f t="shared" si="31"/>
        <v>266</v>
      </c>
      <c r="G240" s="232">
        <f t="shared" ca="1" si="28"/>
        <v>76453.798817761199</v>
      </c>
      <c r="H240" s="158">
        <f ca="1">PROBLEMA!$E$105/G240*K240</f>
        <v>9.9685380162293118</v>
      </c>
      <c r="I240" s="158">
        <f t="shared" ca="1" si="29"/>
        <v>312</v>
      </c>
      <c r="J240" s="233">
        <f ca="1">PROBLEMA!$F$102/(I240/IF(Tipo_Seccion_Ale=$J$17,12^0.5,4))</f>
        <v>51.282051282051285</v>
      </c>
      <c r="K240" s="234">
        <f t="shared" ca="1" si="30"/>
        <v>1.23</v>
      </c>
    </row>
    <row r="241" spans="1:11" x14ac:dyDescent="0.5">
      <c r="A241" s="228">
        <f t="shared" si="25"/>
        <v>55990.249670440688</v>
      </c>
      <c r="B241" s="228">
        <f ca="1">PROBLEMA!$F$84/(E241/IF(Tipo_Seccion_Ale=$J$17,12^0.5,4))</f>
        <v>59.925093632958799</v>
      </c>
      <c r="C241" s="229">
        <f t="shared" ca="1" si="26"/>
        <v>1.31</v>
      </c>
      <c r="D241" s="230">
        <f t="shared" ca="1" si="27"/>
        <v>42740.648603389833</v>
      </c>
      <c r="E241" s="231">
        <f t="shared" si="31"/>
        <v>267</v>
      </c>
      <c r="G241" s="232">
        <f t="shared" ca="1" si="28"/>
        <v>76944.672669884603</v>
      </c>
      <c r="H241" s="158">
        <f ca="1">PROBLEMA!$E$105/G241*K241</f>
        <v>9.9049430396536255</v>
      </c>
      <c r="I241" s="158">
        <f t="shared" ca="1" si="29"/>
        <v>313</v>
      </c>
      <c r="J241" s="233">
        <f ca="1">PROBLEMA!$F$102/(I241/IF(Tipo_Seccion_Ale=$J$17,12^0.5,4))</f>
        <v>51.118210862619812</v>
      </c>
      <c r="K241" s="234">
        <f t="shared" ca="1" si="30"/>
        <v>1.23</v>
      </c>
    </row>
    <row r="242" spans="1:11" x14ac:dyDescent="0.5">
      <c r="A242" s="228">
        <f t="shared" si="25"/>
        <v>56410.437687858328</v>
      </c>
      <c r="B242" s="228">
        <f ca="1">PROBLEMA!$F$84/(E242/IF(Tipo_Seccion_Ale=$J$17,12^0.5,4))</f>
        <v>59.701492537313435</v>
      </c>
      <c r="C242" s="229">
        <f t="shared" ca="1" si="26"/>
        <v>1.31</v>
      </c>
      <c r="D242" s="230">
        <f t="shared" ca="1" si="27"/>
        <v>43061.402815159025</v>
      </c>
      <c r="E242" s="231">
        <f t="shared" si="31"/>
        <v>268</v>
      </c>
      <c r="G242" s="232">
        <f t="shared" ca="1" si="28"/>
        <v>77437.117318334815</v>
      </c>
      <c r="H242" s="158">
        <f ca="1">PROBLEMA!$E$105/G242*K242</f>
        <v>9.7619387985794344</v>
      </c>
      <c r="I242" s="158">
        <f t="shared" ca="1" si="29"/>
        <v>314</v>
      </c>
      <c r="J242" s="233">
        <f ca="1">PROBLEMA!$F$102/(I242/IF(Tipo_Seccion_Ale=$J$17,12^0.5,4))</f>
        <v>50.955414012738856</v>
      </c>
      <c r="K242" s="234">
        <f t="shared" ca="1" si="30"/>
        <v>1.22</v>
      </c>
    </row>
    <row r="243" spans="1:11" x14ac:dyDescent="0.5">
      <c r="A243" s="228">
        <f t="shared" si="25"/>
        <v>56832.196501602753</v>
      </c>
      <c r="B243" s="228">
        <f ca="1">PROBLEMA!$F$84/(E243/IF(Tipo_Seccion_Ale=$J$17,12^0.5,4))</f>
        <v>59.479553903345725</v>
      </c>
      <c r="C243" s="229">
        <f t="shared" ca="1" si="26"/>
        <v>1.31</v>
      </c>
      <c r="D243" s="230">
        <f t="shared" ca="1" si="27"/>
        <v>43383.3561080937</v>
      </c>
      <c r="E243" s="231">
        <f t="shared" si="31"/>
        <v>269</v>
      </c>
      <c r="G243" s="232">
        <f t="shared" ca="1" si="28"/>
        <v>77931.132763111804</v>
      </c>
      <c r="H243" s="158">
        <f ca="1">PROBLEMA!$E$105/G243*K243</f>
        <v>9.700056616626231</v>
      </c>
      <c r="I243" s="158">
        <f t="shared" ca="1" si="29"/>
        <v>315</v>
      </c>
      <c r="J243" s="233">
        <f ca="1">PROBLEMA!$F$102/(I243/IF(Tipo_Seccion_Ale=$J$17,12^0.5,4))</f>
        <v>50.793650793650791</v>
      </c>
      <c r="K243" s="234">
        <f t="shared" ca="1" si="30"/>
        <v>1.22</v>
      </c>
    </row>
    <row r="244" spans="1:11" x14ac:dyDescent="0.5">
      <c r="A244" s="228">
        <f t="shared" si="25"/>
        <v>57255.526111673978</v>
      </c>
      <c r="B244" s="228">
        <f ca="1">PROBLEMA!$F$84/(E244/IF(Tipo_Seccion_Ale=$J$17,12^0.5,4))</f>
        <v>59.25925925925926</v>
      </c>
      <c r="C244" s="229">
        <f t="shared" ca="1" si="26"/>
        <v>1.31</v>
      </c>
      <c r="D244" s="230">
        <f t="shared" ca="1" si="27"/>
        <v>43706.508482193873</v>
      </c>
      <c r="E244" s="231">
        <f t="shared" si="31"/>
        <v>270</v>
      </c>
      <c r="G244" s="232">
        <f t="shared" ca="1" si="28"/>
        <v>78426.7190042156</v>
      </c>
      <c r="H244" s="158">
        <f ca="1">PROBLEMA!$E$105/G244*K244</f>
        <v>9.6387609936782734</v>
      </c>
      <c r="I244" s="158">
        <f t="shared" ca="1" si="29"/>
        <v>316</v>
      </c>
      <c r="J244" s="233">
        <f ca="1">PROBLEMA!$F$102/(I244/IF(Tipo_Seccion_Ale=$J$17,12^0.5,4))</f>
        <v>50.632911392405063</v>
      </c>
      <c r="K244" s="234">
        <f t="shared" ca="1" si="30"/>
        <v>1.22</v>
      </c>
    </row>
    <row r="245" spans="1:11" x14ac:dyDescent="0.5">
      <c r="A245" s="228">
        <f t="shared" si="25"/>
        <v>57680.426518071996</v>
      </c>
      <c r="B245" s="228">
        <f ca="1">PROBLEMA!$F$84/(E245/IF(Tipo_Seccion_Ale=$J$17,12^0.5,4))</f>
        <v>59.040590405904062</v>
      </c>
      <c r="C245" s="229">
        <f t="shared" ca="1" si="26"/>
        <v>1.31</v>
      </c>
      <c r="D245" s="230">
        <f t="shared" ca="1" si="27"/>
        <v>44030.859937459536</v>
      </c>
      <c r="E245" s="231">
        <f t="shared" si="31"/>
        <v>271</v>
      </c>
      <c r="G245" s="232">
        <f t="shared" ca="1" si="28"/>
        <v>78923.876041646174</v>
      </c>
      <c r="H245" s="158">
        <f ca="1">PROBLEMA!$E$105/G245*K245</f>
        <v>9.5780445400465517</v>
      </c>
      <c r="I245" s="158">
        <f t="shared" ca="1" si="29"/>
        <v>317</v>
      </c>
      <c r="J245" s="233">
        <f ca="1">PROBLEMA!$F$102/(I245/IF(Tipo_Seccion_Ale=$J$17,12^0.5,4))</f>
        <v>50.473186119873816</v>
      </c>
      <c r="K245" s="234">
        <f t="shared" ca="1" si="30"/>
        <v>1.22</v>
      </c>
    </row>
    <row r="246" spans="1:11" x14ac:dyDescent="0.5">
      <c r="A246" s="228">
        <f t="shared" si="25"/>
        <v>58106.897720796813</v>
      </c>
      <c r="B246" s="228">
        <f ca="1">PROBLEMA!$F$84/(E246/IF(Tipo_Seccion_Ale=$J$17,12^0.5,4))</f>
        <v>58.823529411764703</v>
      </c>
      <c r="C246" s="229">
        <f t="shared" ca="1" si="26"/>
        <v>1.3</v>
      </c>
      <c r="D246" s="230">
        <f t="shared" ca="1" si="27"/>
        <v>44697.613631382163</v>
      </c>
      <c r="E246" s="231">
        <f t="shared" si="31"/>
        <v>272</v>
      </c>
      <c r="G246" s="232">
        <f t="shared" ca="1" si="28"/>
        <v>79422.603875403554</v>
      </c>
      <c r="H246" s="158">
        <f ca="1">PROBLEMA!$E$105/G246*K246</f>
        <v>9.5178999820491459</v>
      </c>
      <c r="I246" s="158">
        <f t="shared" ca="1" si="29"/>
        <v>318</v>
      </c>
      <c r="J246" s="233">
        <f ca="1">PROBLEMA!$F$102/(I246/IF(Tipo_Seccion_Ale=$J$17,12^0.5,4))</f>
        <v>50.314465408805034</v>
      </c>
      <c r="K246" s="234">
        <f t="shared" ca="1" si="30"/>
        <v>1.22</v>
      </c>
    </row>
    <row r="247" spans="1:11" x14ac:dyDescent="0.5">
      <c r="A247" s="228">
        <f t="shared" si="25"/>
        <v>58534.939719848422</v>
      </c>
      <c r="B247" s="228">
        <f ca="1">PROBLEMA!$F$84/(E247/IF(Tipo_Seccion_Ale=$J$17,12^0.5,4))</f>
        <v>58.608058608058606</v>
      </c>
      <c r="C247" s="229">
        <f t="shared" ca="1" si="26"/>
        <v>1.3</v>
      </c>
      <c r="D247" s="230">
        <f t="shared" ca="1" si="27"/>
        <v>45026.876707575706</v>
      </c>
      <c r="E247" s="231">
        <f t="shared" si="31"/>
        <v>273</v>
      </c>
      <c r="G247" s="232">
        <f t="shared" ca="1" si="28"/>
        <v>79922.902505487727</v>
      </c>
      <c r="H247" s="158">
        <f ca="1">PROBLEMA!$E$105/G247*K247</f>
        <v>9.4583201598327253</v>
      </c>
      <c r="I247" s="158">
        <f t="shared" ca="1" si="29"/>
        <v>319</v>
      </c>
      <c r="J247" s="233">
        <f ca="1">PROBLEMA!$F$102/(I247/IF(Tipo_Seccion_Ale=$J$17,12^0.5,4))</f>
        <v>50.156739811912225</v>
      </c>
      <c r="K247" s="234">
        <f t="shared" ca="1" si="30"/>
        <v>1.22</v>
      </c>
    </row>
    <row r="248" spans="1:11" x14ac:dyDescent="0.5">
      <c r="A248" s="228">
        <f t="shared" si="25"/>
        <v>58964.552515226824</v>
      </c>
      <c r="B248" s="228">
        <f ca="1">PROBLEMA!$F$84/(E248/IF(Tipo_Seccion_Ale=$J$17,12^0.5,4))</f>
        <v>58.394160583941606</v>
      </c>
      <c r="C248" s="229">
        <f t="shared" ca="1" si="26"/>
        <v>1.3</v>
      </c>
      <c r="D248" s="230">
        <f t="shared" ca="1" si="27"/>
        <v>45357.348088636019</v>
      </c>
      <c r="E248" s="231">
        <f t="shared" si="31"/>
        <v>274</v>
      </c>
      <c r="G248" s="232">
        <f t="shared" ca="1" si="28"/>
        <v>80424.771931898707</v>
      </c>
      <c r="H248" s="158">
        <f ca="1">PROBLEMA!$E$105/G248*K248</f>
        <v>9.3222545988051735</v>
      </c>
      <c r="I248" s="158">
        <f t="shared" ca="1" si="29"/>
        <v>320</v>
      </c>
      <c r="J248" s="233">
        <f ca="1">PROBLEMA!$F$102/(I248/IF(Tipo_Seccion_Ale=$J$17,12^0.5,4))</f>
        <v>50</v>
      </c>
      <c r="K248" s="234">
        <f t="shared" ca="1" si="30"/>
        <v>1.21</v>
      </c>
    </row>
    <row r="249" spans="1:11" x14ac:dyDescent="0.5">
      <c r="A249" s="228">
        <f t="shared" si="25"/>
        <v>59395.736106932025</v>
      </c>
      <c r="B249" s="228">
        <f ca="1">PROBLEMA!$F$84/(E249/IF(Tipo_Seccion_Ale=$J$17,12^0.5,4))</f>
        <v>58.18181818181818</v>
      </c>
      <c r="C249" s="229">
        <f t="shared" ca="1" si="26"/>
        <v>1.3</v>
      </c>
      <c r="D249" s="230">
        <f t="shared" ca="1" si="27"/>
        <v>45689.027774563096</v>
      </c>
      <c r="E249" s="231">
        <f t="shared" si="31"/>
        <v>275</v>
      </c>
      <c r="G249" s="232">
        <f t="shared" ca="1" si="28"/>
        <v>80928.212154636465</v>
      </c>
      <c r="H249" s="158">
        <f ca="1">PROBLEMA!$E$105/G249*K249</f>
        <v>9.2642624869483985</v>
      </c>
      <c r="I249" s="158">
        <f t="shared" ca="1" si="29"/>
        <v>321</v>
      </c>
      <c r="J249" s="233">
        <f ca="1">PROBLEMA!$F$102/(I249/IF(Tipo_Seccion_Ale=$J$17,12^0.5,4))</f>
        <v>49.844236760124609</v>
      </c>
      <c r="K249" s="234">
        <f t="shared" ca="1" si="30"/>
        <v>1.21</v>
      </c>
    </row>
    <row r="250" spans="1:11" x14ac:dyDescent="0.5">
      <c r="A250" s="228">
        <f t="shared" si="25"/>
        <v>59828.490494964019</v>
      </c>
      <c r="B250" s="228">
        <f ca="1">PROBLEMA!$F$84/(E250/IF(Tipo_Seccion_Ale=$J$17,12^0.5,4))</f>
        <v>57.971014492753625</v>
      </c>
      <c r="C250" s="229">
        <f t="shared" ca="1" si="26"/>
        <v>1.29</v>
      </c>
      <c r="D250" s="230">
        <f t="shared" ca="1" si="27"/>
        <v>46378.67480229769</v>
      </c>
      <c r="E250" s="231">
        <f t="shared" si="31"/>
        <v>276</v>
      </c>
      <c r="G250" s="232">
        <f t="shared" ca="1" si="28"/>
        <v>81433.22317370103</v>
      </c>
      <c r="H250" s="158">
        <f ca="1">PROBLEMA!$E$105/G250*K250</f>
        <v>9.2068098348602465</v>
      </c>
      <c r="I250" s="158">
        <f t="shared" ca="1" si="29"/>
        <v>322</v>
      </c>
      <c r="J250" s="233">
        <f ca="1">PROBLEMA!$F$102/(I250/IF(Tipo_Seccion_Ale=$J$17,12^0.5,4))</f>
        <v>49.689440993788821</v>
      </c>
      <c r="K250" s="234">
        <f t="shared" ca="1" si="30"/>
        <v>1.21</v>
      </c>
    </row>
    <row r="251" spans="1:11" x14ac:dyDescent="0.5">
      <c r="A251" s="228">
        <f t="shared" si="25"/>
        <v>60262.815679322812</v>
      </c>
      <c r="B251" s="228">
        <f ca="1">PROBLEMA!$F$84/(E251/IF(Tipo_Seccion_Ale=$J$17,12^0.5,4))</f>
        <v>57.761732851985556</v>
      </c>
      <c r="C251" s="229">
        <f t="shared" ca="1" si="26"/>
        <v>1.29</v>
      </c>
      <c r="D251" s="230">
        <f t="shared" ca="1" si="27"/>
        <v>46715.360991723108</v>
      </c>
      <c r="E251" s="231">
        <f t="shared" si="31"/>
        <v>277</v>
      </c>
      <c r="G251" s="232">
        <f t="shared" ca="1" si="28"/>
        <v>81939.804989092387</v>
      </c>
      <c r="H251" s="158">
        <f ca="1">PROBLEMA!$E$105/G251*K251</f>
        <v>9.1498899722766431</v>
      </c>
      <c r="I251" s="158">
        <f t="shared" ca="1" si="29"/>
        <v>323</v>
      </c>
      <c r="J251" s="233">
        <f ca="1">PROBLEMA!$F$102/(I251/IF(Tipo_Seccion_Ale=$J$17,12^0.5,4))</f>
        <v>49.535603715170282</v>
      </c>
      <c r="K251" s="234">
        <f t="shared" ca="1" si="30"/>
        <v>1.21</v>
      </c>
    </row>
    <row r="252" spans="1:11" x14ac:dyDescent="0.5">
      <c r="A252" s="228">
        <f t="shared" si="25"/>
        <v>60698.71166000839</v>
      </c>
      <c r="B252" s="228">
        <f ca="1">PROBLEMA!$F$84/(E252/IF(Tipo_Seccion_Ale=$J$17,12^0.5,4))</f>
        <v>57.553956834532372</v>
      </c>
      <c r="C252" s="229">
        <f t="shared" ca="1" si="26"/>
        <v>1.29</v>
      </c>
      <c r="D252" s="230">
        <f t="shared" ca="1" si="27"/>
        <v>47053.26485271968</v>
      </c>
      <c r="E252" s="231">
        <f t="shared" si="31"/>
        <v>278</v>
      </c>
      <c r="G252" s="232">
        <f t="shared" ca="1" si="28"/>
        <v>82447.957600810536</v>
      </c>
      <c r="H252" s="158">
        <f ca="1">PROBLEMA!$E$105/G252*K252</f>
        <v>9.093496331710579</v>
      </c>
      <c r="I252" s="158">
        <f t="shared" ca="1" si="29"/>
        <v>324</v>
      </c>
      <c r="J252" s="233">
        <f ca="1">PROBLEMA!$F$102/(I252/IF(Tipo_Seccion_Ale=$J$17,12^0.5,4))</f>
        <v>49.382716049382715</v>
      </c>
      <c r="K252" s="234">
        <f t="shared" ca="1" si="30"/>
        <v>1.21</v>
      </c>
    </row>
    <row r="253" spans="1:11" x14ac:dyDescent="0.5">
      <c r="A253" s="228">
        <f t="shared" si="25"/>
        <v>61136.178437020768</v>
      </c>
      <c r="B253" s="228">
        <f ca="1">PROBLEMA!$F$84/(E253/IF(Tipo_Seccion_Ale=$J$17,12^0.5,4))</f>
        <v>57.347670250896059</v>
      </c>
      <c r="C253" s="229">
        <f t="shared" ca="1" si="26"/>
        <v>1.29</v>
      </c>
      <c r="D253" s="230">
        <f t="shared" ca="1" si="27"/>
        <v>47392.386385287413</v>
      </c>
      <c r="E253" s="231">
        <f t="shared" si="31"/>
        <v>279</v>
      </c>
      <c r="G253" s="232">
        <f t="shared" ca="1" si="28"/>
        <v>82957.681008855478</v>
      </c>
      <c r="H253" s="158">
        <f ca="1">PROBLEMA!$E$105/G253*K253</f>
        <v>9.0376224465576307</v>
      </c>
      <c r="I253" s="158">
        <f t="shared" ca="1" si="29"/>
        <v>325</v>
      </c>
      <c r="J253" s="233">
        <f ca="1">PROBLEMA!$F$102/(I253/IF(Tipo_Seccion_Ale=$J$17,12^0.5,4))</f>
        <v>49.230769230769234</v>
      </c>
      <c r="K253" s="234">
        <f t="shared" ca="1" si="30"/>
        <v>1.21</v>
      </c>
    </row>
    <row r="254" spans="1:11" x14ac:dyDescent="0.5">
      <c r="A254" s="228">
        <f t="shared" si="25"/>
        <v>61575.216010359945</v>
      </c>
      <c r="B254" s="228">
        <f ca="1">PROBLEMA!$F$84/(E254/IF(Tipo_Seccion_Ale=$J$17,12^0.5,4))</f>
        <v>57.142857142857146</v>
      </c>
      <c r="C254" s="229">
        <f t="shared" ca="1" si="26"/>
        <v>1.29</v>
      </c>
      <c r="D254" s="230">
        <f t="shared" ca="1" si="27"/>
        <v>47732.725589426314</v>
      </c>
      <c r="E254" s="231">
        <f t="shared" si="31"/>
        <v>280</v>
      </c>
      <c r="G254" s="232">
        <f t="shared" ca="1" si="28"/>
        <v>83468.975213227211</v>
      </c>
      <c r="H254" s="158">
        <f ca="1">PROBLEMA!$E$105/G254*K254</f>
        <v>8.9822619492420657</v>
      </c>
      <c r="I254" s="158">
        <f t="shared" ca="1" si="29"/>
        <v>326</v>
      </c>
      <c r="J254" s="233">
        <f ca="1">PROBLEMA!$F$102/(I254/IF(Tipo_Seccion_Ale=$J$17,12^0.5,4))</f>
        <v>49.079754601226995</v>
      </c>
      <c r="K254" s="234">
        <f t="shared" ca="1" si="30"/>
        <v>1.21</v>
      </c>
    </row>
    <row r="255" spans="1:11" x14ac:dyDescent="0.5">
      <c r="A255" s="228">
        <f t="shared" si="25"/>
        <v>62015.824380025915</v>
      </c>
      <c r="B255" s="228">
        <f ca="1">PROBLEMA!$F$84/(E255/IF(Tipo_Seccion_Ale=$J$17,12^0.5,4))</f>
        <v>56.939501779359432</v>
      </c>
      <c r="C255" s="229">
        <f t="shared" ca="1" si="26"/>
        <v>1.28</v>
      </c>
      <c r="D255" s="230">
        <f t="shared" ca="1" si="27"/>
        <v>48449.862796895242</v>
      </c>
      <c r="E255" s="231">
        <f t="shared" si="31"/>
        <v>281</v>
      </c>
      <c r="G255" s="232">
        <f t="shared" ca="1" si="28"/>
        <v>83981.840213925752</v>
      </c>
      <c r="H255" s="158">
        <f ca="1">PROBLEMA!$E$105/G255*K255</f>
        <v>8.8536283332918266</v>
      </c>
      <c r="I255" s="158">
        <f t="shared" ca="1" si="29"/>
        <v>327</v>
      </c>
      <c r="J255" s="233">
        <f ca="1">PROBLEMA!$F$102/(I255/IF(Tipo_Seccion_Ale=$J$17,12^0.5,4))</f>
        <v>48.929663608562691</v>
      </c>
      <c r="K255" s="234">
        <f t="shared" ca="1" si="30"/>
        <v>1.2</v>
      </c>
    </row>
    <row r="256" spans="1:11" x14ac:dyDescent="0.5">
      <c r="A256" s="228">
        <f t="shared" si="25"/>
        <v>62458.003546018677</v>
      </c>
      <c r="B256" s="228">
        <f ca="1">PROBLEMA!$F$84/(E256/IF(Tipo_Seccion_Ale=$J$17,12^0.5,4))</f>
        <v>56.737588652482266</v>
      </c>
      <c r="C256" s="229">
        <f t="shared" ca="1" si="26"/>
        <v>1.28</v>
      </c>
      <c r="D256" s="230">
        <f t="shared" ca="1" si="27"/>
        <v>48795.31527032709</v>
      </c>
      <c r="E256" s="231">
        <f t="shared" si="31"/>
        <v>282</v>
      </c>
      <c r="G256" s="232">
        <f t="shared" ca="1" si="28"/>
        <v>84496.276010951071</v>
      </c>
      <c r="H256" s="158">
        <f ca="1">PROBLEMA!$E$105/G256*K256</f>
        <v>8.7997250897025747</v>
      </c>
      <c r="I256" s="158">
        <f t="shared" ca="1" si="29"/>
        <v>328</v>
      </c>
      <c r="J256" s="233">
        <f ca="1">PROBLEMA!$F$102/(I256/IF(Tipo_Seccion_Ale=$J$17,12^0.5,4))</f>
        <v>48.780487804878049</v>
      </c>
      <c r="K256" s="234">
        <f t="shared" ca="1" si="30"/>
        <v>1.2</v>
      </c>
    </row>
    <row r="257" spans="1:11" x14ac:dyDescent="0.5">
      <c r="A257" s="228">
        <f t="shared" si="25"/>
        <v>62901.753508338232</v>
      </c>
      <c r="B257" s="228">
        <f ca="1">PROBLEMA!$F$84/(E257/IF(Tipo_Seccion_Ale=$J$17,12^0.5,4))</f>
        <v>56.53710247349823</v>
      </c>
      <c r="C257" s="229">
        <f t="shared" ca="1" si="26"/>
        <v>1.28</v>
      </c>
      <c r="D257" s="230">
        <f t="shared" ca="1" si="27"/>
        <v>49141.994928389242</v>
      </c>
      <c r="E257" s="231">
        <f t="shared" si="31"/>
        <v>283</v>
      </c>
      <c r="G257" s="232">
        <f t="shared" ca="1" si="28"/>
        <v>85012.282604303196</v>
      </c>
      <c r="H257" s="158">
        <f ca="1">PROBLEMA!$E$105/G257*K257</f>
        <v>8.7463126176824115</v>
      </c>
      <c r="I257" s="158">
        <f t="shared" ca="1" si="29"/>
        <v>329</v>
      </c>
      <c r="J257" s="233">
        <f ca="1">PROBLEMA!$F$102/(I257/IF(Tipo_Seccion_Ale=$J$17,12^0.5,4))</f>
        <v>48.632218844984806</v>
      </c>
      <c r="K257" s="234">
        <f t="shared" ca="1" si="30"/>
        <v>1.2</v>
      </c>
    </row>
    <row r="258" spans="1:11" x14ac:dyDescent="0.5">
      <c r="A258" s="228">
        <f t="shared" si="25"/>
        <v>63347.074266984586</v>
      </c>
      <c r="B258" s="228">
        <f ca="1">PROBLEMA!$F$84/(E258/IF(Tipo_Seccion_Ale=$J$17,12^0.5,4))</f>
        <v>56.338028169014088</v>
      </c>
      <c r="C258" s="229">
        <f t="shared" ca="1" si="26"/>
        <v>1.28</v>
      </c>
      <c r="D258" s="230">
        <f t="shared" ca="1" si="27"/>
        <v>49489.901771081706</v>
      </c>
      <c r="E258" s="231">
        <f t="shared" si="31"/>
        <v>284</v>
      </c>
      <c r="G258" s="232">
        <f t="shared" ca="1" si="28"/>
        <v>85529.859993982114</v>
      </c>
      <c r="H258" s="158">
        <f ca="1">PROBLEMA!$E$105/G258*K258</f>
        <v>8.6933849775074545</v>
      </c>
      <c r="I258" s="158">
        <f t="shared" ca="1" si="29"/>
        <v>330</v>
      </c>
      <c r="J258" s="233">
        <f ca="1">PROBLEMA!$F$102/(I258/IF(Tipo_Seccion_Ale=$J$17,12^0.5,4))</f>
        <v>48.484848484848484</v>
      </c>
      <c r="K258" s="234">
        <f t="shared" ca="1" si="30"/>
        <v>1.2</v>
      </c>
    </row>
    <row r="259" spans="1:11" x14ac:dyDescent="0.5">
      <c r="A259" s="228">
        <f t="shared" si="25"/>
        <v>63793.96582195774</v>
      </c>
      <c r="B259" s="228">
        <f ca="1">PROBLEMA!$F$84/(E259/IF(Tipo_Seccion_Ale=$J$17,12^0.5,4))</f>
        <v>56.140350877192979</v>
      </c>
      <c r="C259" s="229">
        <f t="shared" ca="1" si="26"/>
        <v>1.28</v>
      </c>
      <c r="D259" s="230">
        <f t="shared" ca="1" si="27"/>
        <v>49839.035798404482</v>
      </c>
      <c r="E259" s="231">
        <f t="shared" si="31"/>
        <v>285</v>
      </c>
      <c r="G259" s="232">
        <f t="shared" ca="1" si="28"/>
        <v>86049.008179987824</v>
      </c>
      <c r="H259" s="158">
        <f ca="1">PROBLEMA!$E$105/G259*K259</f>
        <v>8.6409363190420123</v>
      </c>
      <c r="I259" s="158">
        <f t="shared" ca="1" si="29"/>
        <v>331</v>
      </c>
      <c r="J259" s="233">
        <f ca="1">PROBLEMA!$F$102/(I259/IF(Tipo_Seccion_Ale=$J$17,12^0.5,4))</f>
        <v>48.338368580060425</v>
      </c>
      <c r="K259" s="234">
        <f t="shared" ca="1" si="30"/>
        <v>1.2</v>
      </c>
    </row>
    <row r="260" spans="1:11" x14ac:dyDescent="0.5">
      <c r="A260" s="228">
        <f t="shared" si="25"/>
        <v>64242.428173257678</v>
      </c>
      <c r="B260" s="228">
        <f ca="1">PROBLEMA!$F$84/(E260/IF(Tipo_Seccion_Ale=$J$17,12^0.5,4))</f>
        <v>55.944055944055947</v>
      </c>
      <c r="C260" s="229">
        <f t="shared" ca="1" si="26"/>
        <v>1.27</v>
      </c>
      <c r="D260" s="230">
        <f t="shared" ca="1" si="27"/>
        <v>50584.589112801317</v>
      </c>
      <c r="E260" s="231">
        <f t="shared" si="31"/>
        <v>286</v>
      </c>
      <c r="G260" s="232">
        <f t="shared" ca="1" si="28"/>
        <v>86569.727162320341</v>
      </c>
      <c r="H260" s="158">
        <f ca="1">PROBLEMA!$E$105/G260*K260</f>
        <v>8.5889608801219506</v>
      </c>
      <c r="I260" s="158">
        <f t="shared" ca="1" si="29"/>
        <v>332</v>
      </c>
      <c r="J260" s="233">
        <f ca="1">PROBLEMA!$F$102/(I260/IF(Tipo_Seccion_Ale=$J$17,12^0.5,4))</f>
        <v>48.192771084337352</v>
      </c>
      <c r="K260" s="234">
        <f t="shared" ca="1" si="30"/>
        <v>1.2</v>
      </c>
    </row>
    <row r="261" spans="1:11" x14ac:dyDescent="0.5">
      <c r="A261" s="228">
        <f t="shared" si="25"/>
        <v>64692.461320884417</v>
      </c>
      <c r="B261" s="228">
        <f ca="1">PROBLEMA!$F$84/(E261/IF(Tipo_Seccion_Ale=$J$17,12^0.5,4))</f>
        <v>55.749128919860624</v>
      </c>
      <c r="C261" s="229">
        <f t="shared" ca="1" si="26"/>
        <v>1.27</v>
      </c>
      <c r="D261" s="230">
        <f t="shared" ca="1" si="27"/>
        <v>50938.945921956234</v>
      </c>
      <c r="E261" s="231">
        <f t="shared" si="31"/>
        <v>287</v>
      </c>
      <c r="G261" s="232">
        <f t="shared" ca="1" si="28"/>
        <v>87092.016940979636</v>
      </c>
      <c r="H261" s="158">
        <f ca="1">PROBLEMA!$E$105/G261*K261</f>
        <v>8.5374529849720151</v>
      </c>
      <c r="I261" s="158">
        <f t="shared" ca="1" si="29"/>
        <v>333</v>
      </c>
      <c r="J261" s="233">
        <f ca="1">PROBLEMA!$F$102/(I261/IF(Tipo_Seccion_Ale=$J$17,12^0.5,4))</f>
        <v>48.048048048048045</v>
      </c>
      <c r="K261" s="234">
        <f t="shared" ca="1" si="30"/>
        <v>1.2</v>
      </c>
    </row>
    <row r="262" spans="1:11" x14ac:dyDescent="0.5">
      <c r="A262" s="228">
        <f t="shared" si="25"/>
        <v>65144.065264837947</v>
      </c>
      <c r="B262" s="228">
        <f ca="1">PROBLEMA!$F$84/(E262/IF(Tipo_Seccion_Ale=$J$17,12^0.5,4))</f>
        <v>55.555555555555557</v>
      </c>
      <c r="C262" s="229">
        <f t="shared" ca="1" si="26"/>
        <v>1.27</v>
      </c>
      <c r="D262" s="230">
        <f t="shared" ca="1" si="27"/>
        <v>51294.539578612559</v>
      </c>
      <c r="E262" s="231">
        <f t="shared" si="31"/>
        <v>288</v>
      </c>
      <c r="G262" s="232">
        <f t="shared" ca="1" si="28"/>
        <v>87615.877515965738</v>
      </c>
      <c r="H262" s="158">
        <f ca="1">PROBLEMA!$E$105/G262*K262</f>
        <v>8.4864070426562606</v>
      </c>
      <c r="I262" s="158">
        <f t="shared" ca="1" si="29"/>
        <v>334</v>
      </c>
      <c r="J262" s="233">
        <f ca="1">PROBLEMA!$F$102/(I262/IF(Tipo_Seccion_Ale=$J$17,12^0.5,4))</f>
        <v>47.904191616766468</v>
      </c>
      <c r="K262" s="234">
        <f t="shared" ca="1" si="30"/>
        <v>1.2</v>
      </c>
    </row>
    <row r="263" spans="1:11" x14ac:dyDescent="0.5">
      <c r="A263" s="228">
        <f t="shared" si="25"/>
        <v>65597.240005118278</v>
      </c>
      <c r="B263" s="228">
        <f ca="1">PROBLEMA!$F$84/(E263/IF(Tipo_Seccion_Ale=$J$17,12^0.5,4))</f>
        <v>55.363321799307961</v>
      </c>
      <c r="C263" s="229">
        <f t="shared" ca="1" si="26"/>
        <v>1.27</v>
      </c>
      <c r="D263" s="230">
        <f t="shared" ca="1" si="27"/>
        <v>51651.3700827703</v>
      </c>
      <c r="E263" s="231">
        <f t="shared" si="31"/>
        <v>289</v>
      </c>
      <c r="G263" s="232">
        <f t="shared" ca="1" si="28"/>
        <v>88141.308887278632</v>
      </c>
      <c r="H263" s="158">
        <f ca="1">PROBLEMA!$E$105/G263*K263</f>
        <v>8.4358175455608091</v>
      </c>
      <c r="I263" s="158">
        <f t="shared" ca="1" si="29"/>
        <v>335</v>
      </c>
      <c r="J263" s="233">
        <f ca="1">PROBLEMA!$F$102/(I263/IF(Tipo_Seccion_Ale=$J$17,12^0.5,4))</f>
        <v>47.761194029850749</v>
      </c>
      <c r="K263" s="234">
        <f t="shared" ca="1" si="30"/>
        <v>1.2</v>
      </c>
    </row>
    <row r="264" spans="1:11" x14ac:dyDescent="0.5">
      <c r="A264" s="228">
        <f t="shared" si="25"/>
        <v>66051.9855417254</v>
      </c>
      <c r="B264" s="228">
        <f ca="1">PROBLEMA!$F$84/(E264/IF(Tipo_Seccion_Ale=$J$17,12^0.5,4))</f>
        <v>55.172413793103445</v>
      </c>
      <c r="C264" s="229">
        <f t="shared" ca="1" si="26"/>
        <v>1.27</v>
      </c>
      <c r="D264" s="230">
        <f t="shared" ca="1" si="27"/>
        <v>52009.437434429448</v>
      </c>
      <c r="E264" s="231">
        <f t="shared" si="31"/>
        <v>290</v>
      </c>
      <c r="G264" s="232">
        <f t="shared" ca="1" si="28"/>
        <v>88668.311054918318</v>
      </c>
      <c r="H264" s="158">
        <f ca="1">PROBLEMA!$E$105/G264*K264</f>
        <v>8.3856790679081801</v>
      </c>
      <c r="I264" s="158">
        <f t="shared" ca="1" si="29"/>
        <v>336</v>
      </c>
      <c r="J264" s="233">
        <f ca="1">PROBLEMA!$F$102/(I264/IF(Tipo_Seccion_Ale=$J$17,12^0.5,4))</f>
        <v>47.61904761904762</v>
      </c>
      <c r="K264" s="234">
        <f t="shared" ca="1" si="30"/>
        <v>1.2</v>
      </c>
    </row>
    <row r="265" spans="1:11" x14ac:dyDescent="0.5">
      <c r="A265" s="228">
        <f t="shared" si="25"/>
        <v>66508.301874659315</v>
      </c>
      <c r="B265" s="228">
        <f ca="1">PROBLEMA!$F$84/(E265/IF(Tipo_Seccion_Ale=$J$17,12^0.5,4))</f>
        <v>54.982817869415804</v>
      </c>
      <c r="C265" s="229">
        <f t="shared" ca="1" si="26"/>
        <v>1.26</v>
      </c>
      <c r="D265" s="230">
        <f t="shared" ca="1" si="27"/>
        <v>52784.366567189929</v>
      </c>
      <c r="E265" s="231">
        <f t="shared" si="31"/>
        <v>291</v>
      </c>
      <c r="G265" s="232">
        <f t="shared" ca="1" si="28"/>
        <v>89196.884018884797</v>
      </c>
      <c r="H265" s="158">
        <f ca="1">PROBLEMA!$E$105/G265*K265</f>
        <v>8.3359862643024218</v>
      </c>
      <c r="I265" s="158">
        <f t="shared" ca="1" si="29"/>
        <v>337</v>
      </c>
      <c r="J265" s="233">
        <f ca="1">PROBLEMA!$F$102/(I265/IF(Tipo_Seccion_Ale=$J$17,12^0.5,4))</f>
        <v>47.47774480712166</v>
      </c>
      <c r="K265" s="234">
        <f t="shared" ca="1" si="30"/>
        <v>1.2</v>
      </c>
    </row>
    <row r="266" spans="1:11" x14ac:dyDescent="0.5">
      <c r="A266" s="228">
        <f t="shared" si="25"/>
        <v>66966.189003920037</v>
      </c>
      <c r="B266" s="228">
        <f ca="1">PROBLEMA!$F$84/(E266/IF(Tipo_Seccion_Ale=$J$17,12^0.5,4))</f>
        <v>54.794520547945204</v>
      </c>
      <c r="C266" s="229">
        <f t="shared" ca="1" si="26"/>
        <v>1.26</v>
      </c>
      <c r="D266" s="230">
        <f t="shared" ca="1" si="27"/>
        <v>53147.769050730189</v>
      </c>
      <c r="E266" s="231">
        <f t="shared" si="31"/>
        <v>292</v>
      </c>
      <c r="G266" s="232">
        <f t="shared" ca="1" si="28"/>
        <v>89727.027779178083</v>
      </c>
      <c r="H266" s="158">
        <f ca="1">PROBLEMA!$E$105/G266*K266</f>
        <v>8.2867338683043457</v>
      </c>
      <c r="I266" s="158">
        <f t="shared" ca="1" si="29"/>
        <v>338</v>
      </c>
      <c r="J266" s="233">
        <f ca="1">PROBLEMA!$F$102/(I266/IF(Tipo_Seccion_Ale=$J$17,12^0.5,4))</f>
        <v>47.337278106508876</v>
      </c>
      <c r="K266" s="234">
        <f t="shared" ca="1" si="30"/>
        <v>1.2</v>
      </c>
    </row>
    <row r="267" spans="1:11" x14ac:dyDescent="0.5">
      <c r="A267" s="228">
        <f t="shared" si="25"/>
        <v>67425.646929507537</v>
      </c>
      <c r="B267" s="228">
        <f ca="1">PROBLEMA!$F$84/(E267/IF(Tipo_Seccion_Ale=$J$17,12^0.5,4))</f>
        <v>54.607508532423211</v>
      </c>
      <c r="C267" s="229">
        <f t="shared" ca="1" si="26"/>
        <v>1.26</v>
      </c>
      <c r="D267" s="230">
        <f t="shared" ca="1" si="27"/>
        <v>53512.418198021856</v>
      </c>
      <c r="E267" s="231">
        <f t="shared" si="31"/>
        <v>293</v>
      </c>
      <c r="G267" s="232">
        <f t="shared" ca="1" si="28"/>
        <v>90258.742335798161</v>
      </c>
      <c r="H267" s="158">
        <f ca="1">PROBLEMA!$E$105/G267*K267</f>
        <v>8.2379166910361175</v>
      </c>
      <c r="I267" s="158">
        <f t="shared" ca="1" si="29"/>
        <v>339</v>
      </c>
      <c r="J267" s="233">
        <f ca="1">PROBLEMA!$F$102/(I267/IF(Tipo_Seccion_Ale=$J$17,12^0.5,4))</f>
        <v>47.197640117994098</v>
      </c>
      <c r="K267" s="234">
        <f t="shared" ca="1" si="30"/>
        <v>1.2</v>
      </c>
    </row>
    <row r="268" spans="1:11" x14ac:dyDescent="0.5">
      <c r="A268" s="228">
        <f t="shared" si="25"/>
        <v>67886.675651421843</v>
      </c>
      <c r="B268" s="228">
        <f ca="1">PROBLEMA!$F$84/(E268/IF(Tipo_Seccion_Ale=$J$17,12^0.5,4))</f>
        <v>54.42176870748299</v>
      </c>
      <c r="C268" s="229">
        <f t="shared" ca="1" si="26"/>
        <v>1.26</v>
      </c>
      <c r="D268" s="230">
        <f t="shared" ca="1" si="27"/>
        <v>53878.314009064954</v>
      </c>
      <c r="E268" s="231">
        <f t="shared" si="31"/>
        <v>294</v>
      </c>
      <c r="G268" s="232">
        <f t="shared" ca="1" si="28"/>
        <v>90792.027688745016</v>
      </c>
      <c r="H268" s="158">
        <f ca="1">PROBLEMA!$E$105/G268*K268</f>
        <v>8.1895296198145484</v>
      </c>
      <c r="I268" s="158">
        <f t="shared" ca="1" si="29"/>
        <v>340</v>
      </c>
      <c r="J268" s="233">
        <f ca="1">PROBLEMA!$F$102/(I268/IF(Tipo_Seccion_Ale=$J$17,12^0.5,4))</f>
        <v>47.058823529411768</v>
      </c>
      <c r="K268" s="234">
        <f t="shared" ca="1" si="30"/>
        <v>1.2</v>
      </c>
    </row>
    <row r="269" spans="1:11" x14ac:dyDescent="0.5">
      <c r="A269" s="228">
        <f t="shared" si="25"/>
        <v>68349.275169662942</v>
      </c>
      <c r="B269" s="228">
        <f ca="1">PROBLEMA!$F$84/(E269/IF(Tipo_Seccion_Ale=$J$17,12^0.5,4))</f>
        <v>54.237288135593218</v>
      </c>
      <c r="C269" s="229">
        <f t="shared" ca="1" si="26"/>
        <v>1.26</v>
      </c>
      <c r="D269" s="230">
        <f t="shared" ca="1" si="27"/>
        <v>54245.456483859474</v>
      </c>
      <c r="E269" s="231">
        <f t="shared" si="31"/>
        <v>295</v>
      </c>
      <c r="G269" s="232">
        <f t="shared" ca="1" si="28"/>
        <v>91326.883838018679</v>
      </c>
      <c r="H269" s="158">
        <f ca="1">PROBLEMA!$E$105/G269*K269</f>
        <v>8.0737212200056234</v>
      </c>
      <c r="I269" s="158">
        <f t="shared" ca="1" si="29"/>
        <v>341</v>
      </c>
      <c r="J269" s="233">
        <f ca="1">PROBLEMA!$F$102/(I269/IF(Tipo_Seccion_Ale=$J$17,12^0.5,4))</f>
        <v>46.920821114369502</v>
      </c>
      <c r="K269" s="234">
        <f t="shared" ca="1" si="30"/>
        <v>1.19</v>
      </c>
    </row>
    <row r="270" spans="1:11" x14ac:dyDescent="0.5">
      <c r="A270" s="228">
        <f t="shared" si="25"/>
        <v>68813.445484230833</v>
      </c>
      <c r="B270" s="228">
        <f ca="1">PROBLEMA!$F$84/(E270/IF(Tipo_Seccion_Ale=$J$17,12^0.5,4))</f>
        <v>54.054054054054056</v>
      </c>
      <c r="C270" s="229">
        <f t="shared" ca="1" si="26"/>
        <v>1.26</v>
      </c>
      <c r="D270" s="230">
        <f t="shared" ca="1" si="27"/>
        <v>54613.845622405424</v>
      </c>
      <c r="E270" s="231">
        <f t="shared" si="31"/>
        <v>296</v>
      </c>
      <c r="G270" s="232">
        <f t="shared" ca="1" si="28"/>
        <v>91863.310783619134</v>
      </c>
      <c r="H270" s="158">
        <f ca="1">PROBLEMA!$E$105/G270*K270</f>
        <v>8.0265755034324577</v>
      </c>
      <c r="I270" s="158">
        <f t="shared" ca="1" si="29"/>
        <v>342</v>
      </c>
      <c r="J270" s="233">
        <f ca="1">PROBLEMA!$F$102/(I270/IF(Tipo_Seccion_Ale=$J$17,12^0.5,4))</f>
        <v>46.783625730994153</v>
      </c>
      <c r="K270" s="234">
        <f t="shared" ca="1" si="30"/>
        <v>1.19</v>
      </c>
    </row>
    <row r="271" spans="1:11" x14ac:dyDescent="0.5">
      <c r="A271" s="228">
        <f t="shared" si="25"/>
        <v>69279.186595125517</v>
      </c>
      <c r="B271" s="228">
        <f ca="1">PROBLEMA!$F$84/(E271/IF(Tipo_Seccion_Ale=$J$17,12^0.5,4))</f>
        <v>53.872053872053876</v>
      </c>
      <c r="C271" s="229">
        <f t="shared" ca="1" si="26"/>
        <v>1.25</v>
      </c>
      <c r="D271" s="230">
        <f t="shared" ca="1" si="27"/>
        <v>55423.349276100416</v>
      </c>
      <c r="E271" s="231">
        <f t="shared" si="31"/>
        <v>297</v>
      </c>
      <c r="G271" s="232">
        <f t="shared" ca="1" si="28"/>
        <v>92401.308525546396</v>
      </c>
      <c r="H271" s="158">
        <f ca="1">PROBLEMA!$E$105/G271*K271</f>
        <v>7.9798415386741386</v>
      </c>
      <c r="I271" s="158">
        <f t="shared" ca="1" si="29"/>
        <v>343</v>
      </c>
      <c r="J271" s="233">
        <f ca="1">PROBLEMA!$F$102/(I271/IF(Tipo_Seccion_Ale=$J$17,12^0.5,4))</f>
        <v>46.647230320699705</v>
      </c>
      <c r="K271" s="234">
        <f t="shared" ca="1" si="30"/>
        <v>1.19</v>
      </c>
    </row>
    <row r="272" spans="1:11" x14ac:dyDescent="0.5">
      <c r="A272" s="228">
        <f t="shared" si="25"/>
        <v>69746.498502346993</v>
      </c>
      <c r="B272" s="228">
        <f ca="1">PROBLEMA!$F$84/(E272/IF(Tipo_Seccion_Ale=$J$17,12^0.5,4))</f>
        <v>53.691275167785236</v>
      </c>
      <c r="C272" s="229">
        <f t="shared" ca="1" si="26"/>
        <v>1.25</v>
      </c>
      <c r="D272" s="230">
        <f t="shared" ca="1" si="27"/>
        <v>55797.198801877596</v>
      </c>
      <c r="E272" s="231">
        <f t="shared" si="31"/>
        <v>298</v>
      </c>
      <c r="G272" s="232">
        <f t="shared" ca="1" si="28"/>
        <v>92940.877063800435</v>
      </c>
      <c r="H272" s="158">
        <f ca="1">PROBLEMA!$E$105/G272*K272</f>
        <v>7.9335145448846829</v>
      </c>
      <c r="I272" s="158">
        <f t="shared" ca="1" si="29"/>
        <v>344</v>
      </c>
      <c r="J272" s="233">
        <f ca="1">PROBLEMA!$F$102/(I272/IF(Tipo_Seccion_Ale=$J$17,12^0.5,4))</f>
        <v>46.511627906976742</v>
      </c>
      <c r="K272" s="234">
        <f t="shared" ca="1" si="30"/>
        <v>1.19</v>
      </c>
    </row>
    <row r="273" spans="1:11" x14ac:dyDescent="0.5">
      <c r="A273" s="228">
        <f t="shared" si="25"/>
        <v>70215.381205895275</v>
      </c>
      <c r="B273" s="228">
        <f ca="1">PROBLEMA!$F$84/(E273/IF(Tipo_Seccion_Ale=$J$17,12^0.5,4))</f>
        <v>53.511705685618729</v>
      </c>
      <c r="C273" s="229">
        <f t="shared" ca="1" si="26"/>
        <v>1.25</v>
      </c>
      <c r="D273" s="230">
        <f t="shared" ca="1" si="27"/>
        <v>56172.304964716219</v>
      </c>
      <c r="E273" s="231">
        <f t="shared" si="31"/>
        <v>299</v>
      </c>
      <c r="G273" s="232">
        <f t="shared" ca="1" si="28"/>
        <v>93482.016398381282</v>
      </c>
      <c r="H273" s="158">
        <f ca="1">PROBLEMA!$E$105/G273*K273</f>
        <v>7.8875898104051565</v>
      </c>
      <c r="I273" s="158">
        <f t="shared" ca="1" si="29"/>
        <v>345</v>
      </c>
      <c r="J273" s="233">
        <f ca="1">PROBLEMA!$F$102/(I273/IF(Tipo_Seccion_Ale=$J$17,12^0.5,4))</f>
        <v>46.376811594202898</v>
      </c>
      <c r="K273" s="234">
        <f t="shared" ca="1" si="30"/>
        <v>1.19</v>
      </c>
    </row>
    <row r="274" spans="1:11" x14ac:dyDescent="0.5">
      <c r="A274" s="228">
        <f t="shared" si="25"/>
        <v>70685.83470577035</v>
      </c>
      <c r="B274" s="228">
        <f ca="1">PROBLEMA!$F$84/(E274/IF(Tipo_Seccion_Ale=$J$17,12^0.5,4))</f>
        <v>53.333333333333336</v>
      </c>
      <c r="C274" s="229">
        <f t="shared" ca="1" si="26"/>
        <v>1.25</v>
      </c>
      <c r="D274" s="230">
        <f t="shared" ca="1" si="27"/>
        <v>56548.667764616279</v>
      </c>
      <c r="E274" s="231">
        <f t="shared" si="31"/>
        <v>300</v>
      </c>
      <c r="G274" s="232">
        <f t="shared" ca="1" si="28"/>
        <v>94024.726529288921</v>
      </c>
      <c r="H274" s="158">
        <f ca="1">PROBLEMA!$E$105/G274*K274</f>
        <v>7.8420626915656531</v>
      </c>
      <c r="I274" s="158">
        <f t="shared" ca="1" si="29"/>
        <v>346</v>
      </c>
      <c r="J274" s="233">
        <f ca="1">PROBLEMA!$F$102/(I274/IF(Tipo_Seccion_Ale=$J$17,12^0.5,4))</f>
        <v>46.24277456647399</v>
      </c>
      <c r="K274" s="234">
        <f t="shared" ca="1" si="30"/>
        <v>1.19</v>
      </c>
    </row>
    <row r="275" spans="1:11" x14ac:dyDescent="0.5">
      <c r="A275" s="228">
        <f t="shared" si="25"/>
        <v>71157.859001972218</v>
      </c>
      <c r="B275" s="228">
        <f ca="1">PROBLEMA!$F$84/(E275/IF(Tipo_Seccion_Ale=$J$17,12^0.5,4))</f>
        <v>53.156146179401993</v>
      </c>
      <c r="C275" s="229">
        <f t="shared" ca="1" si="26"/>
        <v>1.25</v>
      </c>
      <c r="D275" s="230">
        <f t="shared" ca="1" si="27"/>
        <v>56926.287201577776</v>
      </c>
      <c r="E275" s="231">
        <f t="shared" si="31"/>
        <v>301</v>
      </c>
      <c r="G275" s="232">
        <f t="shared" ca="1" si="28"/>
        <v>94569.007456523352</v>
      </c>
      <c r="H275" s="158">
        <f ca="1">PROBLEMA!$E$105/G275*K275</f>
        <v>7.7969286115113796</v>
      </c>
      <c r="I275" s="158">
        <f t="shared" ca="1" si="29"/>
        <v>347</v>
      </c>
      <c r="J275" s="233">
        <f ca="1">PROBLEMA!$F$102/(I275/IF(Tipo_Seccion_Ale=$J$17,12^0.5,4))</f>
        <v>46.10951008645533</v>
      </c>
      <c r="K275" s="234">
        <f t="shared" ca="1" si="30"/>
        <v>1.19</v>
      </c>
    </row>
    <row r="276" spans="1:11" x14ac:dyDescent="0.5">
      <c r="A276" s="228">
        <f t="shared" si="25"/>
        <v>71631.454094500878</v>
      </c>
      <c r="B276" s="228">
        <f ca="1">PROBLEMA!$F$84/(E276/IF(Tipo_Seccion_Ale=$J$17,12^0.5,4))</f>
        <v>52.980132450331126</v>
      </c>
      <c r="C276" s="229">
        <f t="shared" ca="1" si="26"/>
        <v>1.24</v>
      </c>
      <c r="D276" s="230">
        <f t="shared" ca="1" si="27"/>
        <v>57767.301689113614</v>
      </c>
      <c r="E276" s="231">
        <f t="shared" si="31"/>
        <v>302</v>
      </c>
      <c r="G276" s="232">
        <f t="shared" ca="1" si="28"/>
        <v>95114.859180084575</v>
      </c>
      <c r="H276" s="158">
        <f ca="1">PROBLEMA!$E$105/G276*K276</f>
        <v>7.6870386635981118</v>
      </c>
      <c r="I276" s="158">
        <f t="shared" ca="1" si="29"/>
        <v>348</v>
      </c>
      <c r="J276" s="233">
        <f ca="1">PROBLEMA!$F$102/(I276/IF(Tipo_Seccion_Ale=$J$17,12^0.5,4))</f>
        <v>45.977011494252871</v>
      </c>
      <c r="K276" s="234">
        <f t="shared" ca="1" si="30"/>
        <v>1.18</v>
      </c>
    </row>
    <row r="277" spans="1:11" x14ac:dyDescent="0.5">
      <c r="A277" s="228">
        <f t="shared" si="25"/>
        <v>72106.61998335633</v>
      </c>
      <c r="B277" s="228">
        <f ca="1">PROBLEMA!$F$84/(E277/IF(Tipo_Seccion_Ale=$J$17,12^0.5,4))</f>
        <v>52.805280528052805</v>
      </c>
      <c r="C277" s="229">
        <f t="shared" ca="1" si="26"/>
        <v>1.24</v>
      </c>
      <c r="D277" s="230">
        <f t="shared" ca="1" si="27"/>
        <v>58150.499986577684</v>
      </c>
      <c r="E277" s="231">
        <f t="shared" si="31"/>
        <v>303</v>
      </c>
      <c r="G277" s="232">
        <f t="shared" ca="1" si="28"/>
        <v>95662.281699972591</v>
      </c>
      <c r="H277" s="158">
        <f ca="1">PROBLEMA!$E$105/G277*K277</f>
        <v>7.6430499775567178</v>
      </c>
      <c r="I277" s="158">
        <f t="shared" ca="1" si="29"/>
        <v>349</v>
      </c>
      <c r="J277" s="233">
        <f ca="1">PROBLEMA!$F$102/(I277/IF(Tipo_Seccion_Ale=$J$17,12^0.5,4))</f>
        <v>45.845272206303726</v>
      </c>
      <c r="K277" s="234">
        <f t="shared" ca="1" si="30"/>
        <v>1.18</v>
      </c>
    </row>
    <row r="278" spans="1:11" x14ac:dyDescent="0.5">
      <c r="A278" s="228">
        <f t="shared" si="25"/>
        <v>72583.356668538574</v>
      </c>
      <c r="B278" s="228">
        <f ca="1">PROBLEMA!$F$84/(E278/IF(Tipo_Seccion_Ale=$J$17,12^0.5,4))</f>
        <v>52.631578947368418</v>
      </c>
      <c r="C278" s="229">
        <f t="shared" ca="1" si="26"/>
        <v>1.24</v>
      </c>
      <c r="D278" s="230">
        <f t="shared" ca="1" si="27"/>
        <v>58534.965055273045</v>
      </c>
      <c r="E278" s="231">
        <f t="shared" si="31"/>
        <v>304</v>
      </c>
      <c r="G278" s="232">
        <f t="shared" ca="1" si="28"/>
        <v>96211.275016187414</v>
      </c>
      <c r="H278" s="158">
        <f ca="1">PROBLEMA!$E$105/G278*K278</f>
        <v>7.5994377985011079</v>
      </c>
      <c r="I278" s="158">
        <f t="shared" ca="1" si="29"/>
        <v>350</v>
      </c>
      <c r="J278" s="233">
        <f ca="1">PROBLEMA!$F$102/(I278/IF(Tipo_Seccion_Ale=$J$17,12^0.5,4))</f>
        <v>45.714285714285715</v>
      </c>
      <c r="K278" s="234">
        <f t="shared" ca="1" si="30"/>
        <v>1.18</v>
      </c>
    </row>
    <row r="279" spans="1:11" x14ac:dyDescent="0.5">
      <c r="A279" s="228">
        <f t="shared" si="25"/>
        <v>73061.664150047625</v>
      </c>
      <c r="B279" s="228">
        <f ca="1">PROBLEMA!$F$84/(E279/IF(Tipo_Seccion_Ale=$J$17,12^0.5,4))</f>
        <v>52.459016393442624</v>
      </c>
      <c r="C279" s="229">
        <f t="shared" ca="1" si="26"/>
        <v>1.24</v>
      </c>
      <c r="D279" s="230">
        <f t="shared" ca="1" si="27"/>
        <v>58920.696895199697</v>
      </c>
      <c r="E279" s="231">
        <f t="shared" si="31"/>
        <v>305</v>
      </c>
      <c r="G279" s="232">
        <f t="shared" ca="1" si="28"/>
        <v>96761.839128729029</v>
      </c>
      <c r="H279" s="158">
        <f ca="1">PROBLEMA!$E$105/G279*K279</f>
        <v>7.5561978418712972</v>
      </c>
      <c r="I279" s="158">
        <f t="shared" ca="1" si="29"/>
        <v>351</v>
      </c>
      <c r="J279" s="233">
        <f ca="1">PROBLEMA!$F$102/(I279/IF(Tipo_Seccion_Ale=$J$17,12^0.5,4))</f>
        <v>45.584045584045583</v>
      </c>
      <c r="K279" s="234">
        <f t="shared" ca="1" si="30"/>
        <v>1.18</v>
      </c>
    </row>
    <row r="280" spans="1:11" x14ac:dyDescent="0.5">
      <c r="A280" s="228">
        <f t="shared" si="25"/>
        <v>73541.542427883469</v>
      </c>
      <c r="B280" s="228">
        <f ca="1">PROBLEMA!$F$84/(E280/IF(Tipo_Seccion_Ale=$J$17,12^0.5,4))</f>
        <v>52.287581699346404</v>
      </c>
      <c r="C280" s="229">
        <f t="shared" ca="1" si="26"/>
        <v>1.24</v>
      </c>
      <c r="D280" s="230">
        <f t="shared" ca="1" si="27"/>
        <v>59307.695506357639</v>
      </c>
      <c r="E280" s="231">
        <f t="shared" si="31"/>
        <v>306</v>
      </c>
      <c r="G280" s="232">
        <f t="shared" ca="1" si="28"/>
        <v>97313.974037597436</v>
      </c>
      <c r="H280" s="158">
        <f ca="1">PROBLEMA!$E$105/G280*K280</f>
        <v>7.5133258838809542</v>
      </c>
      <c r="I280" s="158">
        <f t="shared" ca="1" si="29"/>
        <v>352</v>
      </c>
      <c r="J280" s="233">
        <f ca="1">PROBLEMA!$F$102/(I280/IF(Tipo_Seccion_Ale=$J$17,12^0.5,4))</f>
        <v>45.454545454545453</v>
      </c>
      <c r="K280" s="234">
        <f t="shared" ca="1" si="30"/>
        <v>1.18</v>
      </c>
    </row>
    <row r="281" spans="1:11" x14ac:dyDescent="0.5">
      <c r="A281" s="228">
        <f t="shared" si="25"/>
        <v>74022.991502046105</v>
      </c>
      <c r="B281" s="228">
        <f ca="1">PROBLEMA!$F$84/(E281/IF(Tipo_Seccion_Ale=$J$17,12^0.5,4))</f>
        <v>52.11726384364821</v>
      </c>
      <c r="C281" s="229">
        <f t="shared" ca="1" si="26"/>
        <v>1.24</v>
      </c>
      <c r="D281" s="230">
        <f t="shared" ca="1" si="27"/>
        <v>59695.960888746857</v>
      </c>
      <c r="E281" s="231">
        <f t="shared" si="31"/>
        <v>307</v>
      </c>
      <c r="G281" s="232">
        <f t="shared" ca="1" si="28"/>
        <v>97867.679742792636</v>
      </c>
      <c r="H281" s="158">
        <f ca="1">PROBLEMA!$E$105/G281*K281</f>
        <v>7.4708177604858852</v>
      </c>
      <c r="I281" s="158">
        <f t="shared" ca="1" si="29"/>
        <v>353</v>
      </c>
      <c r="J281" s="233">
        <f ca="1">PROBLEMA!$F$102/(I281/IF(Tipo_Seccion_Ale=$J$17,12^0.5,4))</f>
        <v>45.325779036827193</v>
      </c>
      <c r="K281" s="234">
        <f t="shared" ca="1" si="30"/>
        <v>1.18</v>
      </c>
    </row>
    <row r="282" spans="1:11" x14ac:dyDescent="0.5">
      <c r="A282" s="228">
        <f t="shared" si="25"/>
        <v>74506.011372535533</v>
      </c>
      <c r="B282" s="228">
        <f ca="1">PROBLEMA!$F$84/(E282/IF(Tipo_Seccion_Ale=$J$17,12^0.5,4))</f>
        <v>51.948051948051948</v>
      </c>
      <c r="C282" s="229">
        <f t="shared" ca="1" si="26"/>
        <v>1.23</v>
      </c>
      <c r="D282" s="230">
        <f t="shared" ca="1" si="27"/>
        <v>60573.992985801247</v>
      </c>
      <c r="E282" s="231">
        <f t="shared" si="31"/>
        <v>308</v>
      </c>
      <c r="G282" s="232">
        <f t="shared" ca="1" si="28"/>
        <v>98422.956244314628</v>
      </c>
      <c r="H282" s="158">
        <f ca="1">PROBLEMA!$E$105/G282*K282</f>
        <v>7.4286693663728958</v>
      </c>
      <c r="I282" s="158">
        <f t="shared" ca="1" si="29"/>
        <v>354</v>
      </c>
      <c r="J282" s="233">
        <f ca="1">PROBLEMA!$F$102/(I282/IF(Tipo_Seccion_Ale=$J$17,12^0.5,4))</f>
        <v>45.197740112994353</v>
      </c>
      <c r="K282" s="234">
        <f t="shared" ca="1" si="30"/>
        <v>1.18</v>
      </c>
    </row>
    <row r="283" spans="1:11" x14ac:dyDescent="0.5">
      <c r="A283" s="228">
        <f t="shared" si="25"/>
        <v>74990.602039351754</v>
      </c>
      <c r="B283" s="228">
        <f ca="1">PROBLEMA!$F$84/(E283/IF(Tipo_Seccion_Ale=$J$17,12^0.5,4))</f>
        <v>51.779935275080909</v>
      </c>
      <c r="C283" s="229">
        <f t="shared" ca="1" si="26"/>
        <v>1.23</v>
      </c>
      <c r="D283" s="230">
        <f t="shared" ca="1" si="27"/>
        <v>60967.969137684355</v>
      </c>
      <c r="E283" s="231">
        <f t="shared" si="31"/>
        <v>309</v>
      </c>
      <c r="G283" s="232">
        <f t="shared" ca="1" si="28"/>
        <v>98979.803542163412</v>
      </c>
      <c r="H283" s="158">
        <f ca="1">PROBLEMA!$E$105/G283*K283</f>
        <v>7.3868766539685451</v>
      </c>
      <c r="I283" s="158">
        <f t="shared" ca="1" si="29"/>
        <v>355</v>
      </c>
      <c r="J283" s="233">
        <f ca="1">PROBLEMA!$F$102/(I283/IF(Tipo_Seccion_Ale=$J$17,12^0.5,4))</f>
        <v>45.070422535211264</v>
      </c>
      <c r="K283" s="234">
        <f t="shared" ca="1" si="30"/>
        <v>1.18</v>
      </c>
    </row>
    <row r="284" spans="1:11" x14ac:dyDescent="0.5">
      <c r="A284" s="228">
        <f t="shared" si="25"/>
        <v>75476.763502494781</v>
      </c>
      <c r="B284" s="228">
        <f ca="1">PROBLEMA!$F$84/(E284/IF(Tipo_Seccion_Ale=$J$17,12^0.5,4))</f>
        <v>51.612903225806448</v>
      </c>
      <c r="C284" s="229">
        <f t="shared" ca="1" si="26"/>
        <v>1.23</v>
      </c>
      <c r="D284" s="230">
        <f t="shared" ca="1" si="27"/>
        <v>61363.222359751853</v>
      </c>
      <c r="E284" s="231">
        <f t="shared" si="31"/>
        <v>310</v>
      </c>
      <c r="G284" s="232">
        <f t="shared" ca="1" si="28"/>
        <v>99538.221636339003</v>
      </c>
      <c r="H284" s="158">
        <f ca="1">PROBLEMA!$E$105/G284*K284</f>
        <v>7.2831861779549438</v>
      </c>
      <c r="I284" s="158">
        <f t="shared" ca="1" si="29"/>
        <v>356</v>
      </c>
      <c r="J284" s="233">
        <f ca="1">PROBLEMA!$F$102/(I284/IF(Tipo_Seccion_Ale=$J$17,12^0.5,4))</f>
        <v>44.943820224719104</v>
      </c>
      <c r="K284" s="234">
        <f t="shared" ca="1" si="30"/>
        <v>1.17</v>
      </c>
    </row>
    <row r="285" spans="1:11" x14ac:dyDescent="0.5">
      <c r="A285" s="228">
        <f t="shared" si="25"/>
        <v>75964.495761964601</v>
      </c>
      <c r="B285" s="228">
        <f ca="1">PROBLEMA!$F$84/(E285/IF(Tipo_Seccion_Ale=$J$17,12^0.5,4))</f>
        <v>51.446945337620576</v>
      </c>
      <c r="C285" s="229">
        <f t="shared" ca="1" si="26"/>
        <v>1.23</v>
      </c>
      <c r="D285" s="230">
        <f t="shared" ca="1" si="27"/>
        <v>61759.752652003743</v>
      </c>
      <c r="E285" s="231">
        <f t="shared" si="31"/>
        <v>311</v>
      </c>
      <c r="G285" s="232">
        <f t="shared" ca="1" si="28"/>
        <v>100098.21052684139</v>
      </c>
      <c r="H285" s="158">
        <f ca="1">PROBLEMA!$E$105/G285*K285</f>
        <v>7.2424411603802126</v>
      </c>
      <c r="I285" s="158">
        <f t="shared" ca="1" si="29"/>
        <v>357</v>
      </c>
      <c r="J285" s="233">
        <f ca="1">PROBLEMA!$F$102/(I285/IF(Tipo_Seccion_Ale=$J$17,12^0.5,4))</f>
        <v>44.817927170868344</v>
      </c>
      <c r="K285" s="234">
        <f t="shared" ca="1" si="30"/>
        <v>1.17</v>
      </c>
    </row>
    <row r="286" spans="1:11" x14ac:dyDescent="0.5">
      <c r="A286" s="228">
        <f t="shared" si="25"/>
        <v>76453.798817761199</v>
      </c>
      <c r="B286" s="228">
        <f ca="1">PROBLEMA!$F$84/(E286/IF(Tipo_Seccion_Ale=$J$17,12^0.5,4))</f>
        <v>51.282051282051285</v>
      </c>
      <c r="C286" s="229">
        <f t="shared" ca="1" si="26"/>
        <v>1.23</v>
      </c>
      <c r="D286" s="230">
        <f t="shared" ca="1" si="27"/>
        <v>62157.560014440001</v>
      </c>
      <c r="E286" s="231">
        <f t="shared" si="31"/>
        <v>312</v>
      </c>
      <c r="G286" s="232">
        <f t="shared" ca="1" si="28"/>
        <v>100659.77021367056</v>
      </c>
      <c r="H286" s="158">
        <f ca="1">PROBLEMA!$E$105/G286*K286</f>
        <v>7.2020371044076157</v>
      </c>
      <c r="I286" s="158">
        <f t="shared" ca="1" si="29"/>
        <v>358</v>
      </c>
      <c r="J286" s="233">
        <f ca="1">PROBLEMA!$F$102/(I286/IF(Tipo_Seccion_Ale=$J$17,12^0.5,4))</f>
        <v>44.692737430167597</v>
      </c>
      <c r="K286" s="234">
        <f t="shared" ca="1" si="30"/>
        <v>1.17</v>
      </c>
    </row>
    <row r="287" spans="1:11" x14ac:dyDescent="0.5">
      <c r="A287" s="228">
        <f t="shared" si="25"/>
        <v>76944.672669884603</v>
      </c>
      <c r="B287" s="228">
        <f ca="1">PROBLEMA!$F$84/(E287/IF(Tipo_Seccion_Ale=$J$17,12^0.5,4))</f>
        <v>51.118210862619812</v>
      </c>
      <c r="C287" s="229">
        <f t="shared" ca="1" si="26"/>
        <v>1.23</v>
      </c>
      <c r="D287" s="230">
        <f t="shared" ca="1" si="27"/>
        <v>62556.644447060651</v>
      </c>
      <c r="E287" s="231">
        <f t="shared" si="31"/>
        <v>313</v>
      </c>
      <c r="G287" s="232">
        <f t="shared" ca="1" si="28"/>
        <v>101222.90069682653</v>
      </c>
      <c r="H287" s="158">
        <f ca="1">PROBLEMA!$E$105/G287*K287</f>
        <v>7.1619702163181369</v>
      </c>
      <c r="I287" s="158">
        <f t="shared" ca="1" si="29"/>
        <v>359</v>
      </c>
      <c r="J287" s="233">
        <f ca="1">PROBLEMA!$F$102/(I287/IF(Tipo_Seccion_Ale=$J$17,12^0.5,4))</f>
        <v>44.568245125348191</v>
      </c>
      <c r="K287" s="234">
        <f t="shared" ca="1" si="30"/>
        <v>1.17</v>
      </c>
    </row>
    <row r="288" spans="1:11" x14ac:dyDescent="0.5">
      <c r="A288" s="228">
        <f t="shared" si="25"/>
        <v>77437.117318334815</v>
      </c>
      <c r="B288" s="228">
        <f ca="1">PROBLEMA!$F$84/(E288/IF(Tipo_Seccion_Ale=$J$17,12^0.5,4))</f>
        <v>50.955414012738856</v>
      </c>
      <c r="C288" s="229">
        <f t="shared" ca="1" si="26"/>
        <v>1.22</v>
      </c>
      <c r="D288" s="230">
        <f t="shared" ca="1" si="27"/>
        <v>63473.046982241656</v>
      </c>
      <c r="E288" s="231">
        <f t="shared" si="31"/>
        <v>314</v>
      </c>
      <c r="G288" s="232">
        <f t="shared" ca="1" si="28"/>
        <v>101787.60197630929</v>
      </c>
      <c r="H288" s="158">
        <f ca="1">PROBLEMA!$E$105/G288*K288</f>
        <v>7.1222367550100145</v>
      </c>
      <c r="I288" s="158">
        <f t="shared" ca="1" si="29"/>
        <v>360</v>
      </c>
      <c r="J288" s="233">
        <f ca="1">PROBLEMA!$F$102/(I288/IF(Tipo_Seccion_Ale=$J$17,12^0.5,4))</f>
        <v>44.444444444444443</v>
      </c>
      <c r="K288" s="234">
        <f t="shared" ca="1" si="30"/>
        <v>1.17</v>
      </c>
    </row>
    <row r="289" spans="1:11" x14ac:dyDescent="0.5">
      <c r="A289" s="228">
        <f t="shared" si="25"/>
        <v>77931.132763111804</v>
      </c>
      <c r="B289" s="228">
        <f ca="1">PROBLEMA!$F$84/(E289/IF(Tipo_Seccion_Ale=$J$17,12^0.5,4))</f>
        <v>50.793650793650791</v>
      </c>
      <c r="C289" s="229">
        <f t="shared" ca="1" si="26"/>
        <v>1.22</v>
      </c>
      <c r="D289" s="230">
        <f t="shared" ca="1" si="27"/>
        <v>63877.97767468181</v>
      </c>
      <c r="E289" s="231">
        <f t="shared" si="31"/>
        <v>315</v>
      </c>
      <c r="G289" s="232">
        <f t="shared" ca="1" si="28"/>
        <v>102353.87405211886</v>
      </c>
      <c r="H289" s="158">
        <f ca="1">PROBLEMA!$E$105/G289*K289</f>
        <v>7.0828330311254337</v>
      </c>
      <c r="I289" s="158">
        <f t="shared" ca="1" si="29"/>
        <v>361</v>
      </c>
      <c r="J289" s="233">
        <f ca="1">PROBLEMA!$F$102/(I289/IF(Tipo_Seccion_Ale=$J$17,12^0.5,4))</f>
        <v>44.3213296398892</v>
      </c>
      <c r="K289" s="234">
        <f t="shared" ca="1" si="30"/>
        <v>1.17</v>
      </c>
    </row>
    <row r="290" spans="1:11" x14ac:dyDescent="0.5">
      <c r="A290" s="228">
        <f t="shared" si="25"/>
        <v>78426.7190042156</v>
      </c>
      <c r="B290" s="228">
        <f ca="1">PROBLEMA!$F$84/(E290/IF(Tipo_Seccion_Ale=$J$17,12^0.5,4))</f>
        <v>50.632911392405063</v>
      </c>
      <c r="C290" s="229">
        <f t="shared" ca="1" si="26"/>
        <v>1.22</v>
      </c>
      <c r="D290" s="230">
        <f t="shared" ca="1" si="27"/>
        <v>64284.195905094755</v>
      </c>
      <c r="E290" s="231">
        <f t="shared" si="31"/>
        <v>316</v>
      </c>
      <c r="G290" s="232">
        <f t="shared" ca="1" si="28"/>
        <v>102921.71692425522</v>
      </c>
      <c r="H290" s="158">
        <f ca="1">PROBLEMA!$E$105/G290*K290</f>
        <v>7.0437554061940855</v>
      </c>
      <c r="I290" s="158">
        <f t="shared" ca="1" si="29"/>
        <v>362</v>
      </c>
      <c r="J290" s="233">
        <f ca="1">PROBLEMA!$F$102/(I290/IF(Tipo_Seccion_Ale=$J$17,12^0.5,4))</f>
        <v>44.19889502762431</v>
      </c>
      <c r="K290" s="234">
        <f t="shared" ca="1" si="30"/>
        <v>1.17</v>
      </c>
    </row>
    <row r="291" spans="1:11" x14ac:dyDescent="0.5">
      <c r="A291" s="228">
        <f t="shared" si="25"/>
        <v>78923.876041646174</v>
      </c>
      <c r="B291" s="228">
        <f ca="1">PROBLEMA!$F$84/(E291/IF(Tipo_Seccion_Ale=$J$17,12^0.5,4))</f>
        <v>50.473186119873816</v>
      </c>
      <c r="C291" s="229">
        <f t="shared" ca="1" si="26"/>
        <v>1.22</v>
      </c>
      <c r="D291" s="230">
        <f t="shared" ca="1" si="27"/>
        <v>64691.701673480471</v>
      </c>
      <c r="E291" s="231">
        <f t="shared" si="31"/>
        <v>317</v>
      </c>
      <c r="G291" s="232">
        <f t="shared" ca="1" si="28"/>
        <v>103491.13059271836</v>
      </c>
      <c r="H291" s="158">
        <f ca="1">PROBLEMA!$E$105/G291*K291</f>
        <v>7.0050002917931966</v>
      </c>
      <c r="I291" s="158">
        <f t="shared" ca="1" si="29"/>
        <v>363</v>
      </c>
      <c r="J291" s="233">
        <f ca="1">PROBLEMA!$F$102/(I291/IF(Tipo_Seccion_Ale=$J$17,12^0.5,4))</f>
        <v>44.077134986225893</v>
      </c>
      <c r="K291" s="234">
        <f t="shared" ca="1" si="30"/>
        <v>1.17</v>
      </c>
    </row>
    <row r="292" spans="1:11" x14ac:dyDescent="0.5">
      <c r="A292" s="228">
        <f t="shared" si="25"/>
        <v>79422.603875403554</v>
      </c>
      <c r="B292" s="228">
        <f ca="1">PROBLEMA!$F$84/(E292/IF(Tipo_Seccion_Ale=$J$17,12^0.5,4))</f>
        <v>50.314465408805034</v>
      </c>
      <c r="C292" s="229">
        <f t="shared" ca="1" si="26"/>
        <v>1.22</v>
      </c>
      <c r="D292" s="230">
        <f t="shared" ca="1" si="27"/>
        <v>65100.494979838979</v>
      </c>
      <c r="E292" s="231">
        <f t="shared" si="31"/>
        <v>318</v>
      </c>
      <c r="G292" s="232">
        <f t="shared" ca="1" si="28"/>
        <v>104062.1150575083</v>
      </c>
      <c r="H292" s="158">
        <f ca="1">PROBLEMA!$E$105/G292*K292</f>
        <v>6.9070208654012939</v>
      </c>
      <c r="I292" s="158">
        <f t="shared" ca="1" si="29"/>
        <v>364</v>
      </c>
      <c r="J292" s="233">
        <f ca="1">PROBLEMA!$F$102/(I292/IF(Tipo_Seccion_Ale=$J$17,12^0.5,4))</f>
        <v>43.956043956043956</v>
      </c>
      <c r="K292" s="234">
        <f t="shared" ca="1" si="30"/>
        <v>1.1599999999999999</v>
      </c>
    </row>
    <row r="293" spans="1:11" x14ac:dyDescent="0.5">
      <c r="A293" s="228">
        <f t="shared" si="25"/>
        <v>79922.902505487727</v>
      </c>
      <c r="B293" s="228">
        <f ca="1">PROBLEMA!$F$84/(E293/IF(Tipo_Seccion_Ale=$J$17,12^0.5,4))</f>
        <v>50.156739811912225</v>
      </c>
      <c r="C293" s="229">
        <f t="shared" ca="1" si="26"/>
        <v>1.22</v>
      </c>
      <c r="D293" s="230">
        <f t="shared" ca="1" si="27"/>
        <v>65510.575824170272</v>
      </c>
      <c r="E293" s="231">
        <f t="shared" si="31"/>
        <v>319</v>
      </c>
      <c r="G293" s="232">
        <f t="shared" ca="1" si="28"/>
        <v>104634.67031862505</v>
      </c>
      <c r="H293" s="158">
        <f ca="1">PROBLEMA!$E$105/G293*K293</f>
        <v>6.8692260205082354</v>
      </c>
      <c r="I293" s="158">
        <f t="shared" ca="1" si="29"/>
        <v>365</v>
      </c>
      <c r="J293" s="233">
        <f ca="1">PROBLEMA!$F$102/(I293/IF(Tipo_Seccion_Ale=$J$17,12^0.5,4))</f>
        <v>43.835616438356162</v>
      </c>
      <c r="K293" s="234">
        <f t="shared" ca="1" si="30"/>
        <v>1.1599999999999999</v>
      </c>
    </row>
    <row r="294" spans="1:11" x14ac:dyDescent="0.5">
      <c r="A294" s="228">
        <f t="shared" ref="A294:A359" si="32">E294^2*IF(Tipo_Seccion_Ale=$J$17,1,PI()/4)</f>
        <v>80424.771931898707</v>
      </c>
      <c r="B294" s="228">
        <f ca="1">PROBLEMA!$F$84/(E294/IF(Tipo_Seccion_Ale=$J$17,12^0.5,4))</f>
        <v>50</v>
      </c>
      <c r="C294" s="229">
        <f t="shared" ref="C294:C357" ca="1" si="33">IFERROR(VLOOKUP(ROUNDUP(B294,0),Coef_w,Tipo_Ale+1),1)</f>
        <v>1.21</v>
      </c>
      <c r="D294" s="230">
        <f t="shared" ref="D294:D357" ca="1" si="34">A294/C294</f>
        <v>66466.753662726202</v>
      </c>
      <c r="E294" s="231">
        <f t="shared" si="31"/>
        <v>320</v>
      </c>
      <c r="G294" s="232">
        <f t="shared" ref="G294:G357" ca="1" si="35">I294^2*IF(Tipo_Seccion_Ale=$J$17,1,PI()/4)</f>
        <v>105208.79637606858</v>
      </c>
      <c r="H294" s="158">
        <f ca="1">PROBLEMA!$E$105/G294*K294</f>
        <v>6.8317405460166754</v>
      </c>
      <c r="I294" s="158">
        <f t="shared" ref="I294:I357" ca="1" si="36">$I$36+ROW()-36</f>
        <v>366</v>
      </c>
      <c r="J294" s="233">
        <f ca="1">PROBLEMA!$F$102/(I294/IF(Tipo_Seccion_Ale=$J$17,12^0.5,4))</f>
        <v>43.715846994535518</v>
      </c>
      <c r="K294" s="234">
        <f t="shared" ref="K294:K357" ca="1" si="37">IFERROR(VLOOKUP(ROUNDUP(J294,0),Coef_w,Tipo_Ale+1),1)</f>
        <v>1.1599999999999999</v>
      </c>
    </row>
    <row r="295" spans="1:11" x14ac:dyDescent="0.5">
      <c r="A295" s="228">
        <f t="shared" si="32"/>
        <v>80928.212154636465</v>
      </c>
      <c r="B295" s="228">
        <f ca="1">PROBLEMA!$F$84/(E295/IF(Tipo_Seccion_Ale=$J$17,12^0.5,4))</f>
        <v>49.844236760124609</v>
      </c>
      <c r="C295" s="229">
        <f t="shared" ca="1" si="33"/>
        <v>1.21</v>
      </c>
      <c r="D295" s="230">
        <f t="shared" ca="1" si="34"/>
        <v>66882.819962509471</v>
      </c>
      <c r="E295" s="231">
        <f t="shared" ref="E295:E360" si="38">E294+1</f>
        <v>321</v>
      </c>
      <c r="G295" s="232">
        <f t="shared" ca="1" si="35"/>
        <v>105784.49322983892</v>
      </c>
      <c r="H295" s="158">
        <f ca="1">PROBLEMA!$E$105/G295*K295</f>
        <v>6.7945610746401686</v>
      </c>
      <c r="I295" s="158">
        <f t="shared" ca="1" si="36"/>
        <v>367</v>
      </c>
      <c r="J295" s="233">
        <f ca="1">PROBLEMA!$F$102/(I295/IF(Tipo_Seccion_Ale=$J$17,12^0.5,4))</f>
        <v>43.596730245231605</v>
      </c>
      <c r="K295" s="234">
        <f t="shared" ca="1" si="37"/>
        <v>1.1599999999999999</v>
      </c>
    </row>
    <row r="296" spans="1:11" x14ac:dyDescent="0.5">
      <c r="A296" s="228">
        <f t="shared" si="32"/>
        <v>81433.22317370103</v>
      </c>
      <c r="B296" s="228">
        <f ca="1">PROBLEMA!$F$84/(E296/IF(Tipo_Seccion_Ale=$J$17,12^0.5,4))</f>
        <v>49.689440993788821</v>
      </c>
      <c r="C296" s="229">
        <f t="shared" ca="1" si="33"/>
        <v>1.21</v>
      </c>
      <c r="D296" s="230">
        <f t="shared" ca="1" si="34"/>
        <v>67300.184441075238</v>
      </c>
      <c r="E296" s="231">
        <f t="shared" si="38"/>
        <v>322</v>
      </c>
      <c r="G296" s="232">
        <f t="shared" ca="1" si="35"/>
        <v>106361.76087993603</v>
      </c>
      <c r="H296" s="158">
        <f ca="1">PROBLEMA!$E$105/G296*K296</f>
        <v>6.7576842847812042</v>
      </c>
      <c r="I296" s="158">
        <f t="shared" ca="1" si="36"/>
        <v>368</v>
      </c>
      <c r="J296" s="233">
        <f ca="1">PROBLEMA!$F$102/(I296/IF(Tipo_Seccion_Ale=$J$17,12^0.5,4))</f>
        <v>43.478260869565219</v>
      </c>
      <c r="K296" s="234">
        <f t="shared" ca="1" si="37"/>
        <v>1.1599999999999999</v>
      </c>
    </row>
    <row r="297" spans="1:11" x14ac:dyDescent="0.5">
      <c r="A297" s="228">
        <f t="shared" si="32"/>
        <v>81939.804989092387</v>
      </c>
      <c r="B297" s="228">
        <f ca="1">PROBLEMA!$F$84/(E297/IF(Tipo_Seccion_Ale=$J$17,12^0.5,4))</f>
        <v>49.535603715170282</v>
      </c>
      <c r="C297" s="229">
        <f t="shared" ca="1" si="33"/>
        <v>1.21</v>
      </c>
      <c r="D297" s="230">
        <f t="shared" ca="1" si="34"/>
        <v>67718.847098423459</v>
      </c>
      <c r="E297" s="231">
        <f t="shared" si="38"/>
        <v>323</v>
      </c>
      <c r="G297" s="232">
        <f t="shared" ca="1" si="35"/>
        <v>106940.59932635995</v>
      </c>
      <c r="H297" s="158">
        <f ca="1">PROBLEMA!$E$105/G297*K297</f>
        <v>6.7211068997892918</v>
      </c>
      <c r="I297" s="158">
        <f t="shared" ca="1" si="36"/>
        <v>369</v>
      </c>
      <c r="J297" s="233">
        <f ca="1">PROBLEMA!$F$102/(I297/IF(Tipo_Seccion_Ale=$J$17,12^0.5,4))</f>
        <v>43.360433604336045</v>
      </c>
      <c r="K297" s="234">
        <f t="shared" ca="1" si="37"/>
        <v>1.1599999999999999</v>
      </c>
    </row>
    <row r="298" spans="1:11" x14ac:dyDescent="0.5">
      <c r="A298" s="228">
        <f t="shared" si="32"/>
        <v>82447.957600810536</v>
      </c>
      <c r="B298" s="228">
        <f ca="1">PROBLEMA!$F$84/(E298/IF(Tipo_Seccion_Ale=$J$17,12^0.5,4))</f>
        <v>49.382716049382715</v>
      </c>
      <c r="C298" s="229">
        <f t="shared" ca="1" si="33"/>
        <v>1.21</v>
      </c>
      <c r="D298" s="230">
        <f t="shared" ca="1" si="34"/>
        <v>68138.807934554163</v>
      </c>
      <c r="E298" s="231">
        <f t="shared" si="38"/>
        <v>324</v>
      </c>
      <c r="G298" s="232">
        <f t="shared" ca="1" si="35"/>
        <v>107521.00856911067</v>
      </c>
      <c r="H298" s="158">
        <f ca="1">PROBLEMA!$E$105/G298*K298</f>
        <v>6.6848256872330882</v>
      </c>
      <c r="I298" s="158">
        <f t="shared" ca="1" si="36"/>
        <v>370</v>
      </c>
      <c r="J298" s="233">
        <f ca="1">PROBLEMA!$F$102/(I298/IF(Tipo_Seccion_Ale=$J$17,12^0.5,4))</f>
        <v>43.243243243243242</v>
      </c>
      <c r="K298" s="234">
        <f t="shared" ca="1" si="37"/>
        <v>1.1599999999999999</v>
      </c>
    </row>
    <row r="299" spans="1:11" x14ac:dyDescent="0.5">
      <c r="A299" s="228">
        <f t="shared" si="32"/>
        <v>82957.681008855478</v>
      </c>
      <c r="B299" s="228">
        <f ca="1">PROBLEMA!$F$84/(E299/IF(Tipo_Seccion_Ale=$J$17,12^0.5,4))</f>
        <v>49.230769230769234</v>
      </c>
      <c r="C299" s="229">
        <f t="shared" ca="1" si="33"/>
        <v>1.21</v>
      </c>
      <c r="D299" s="230">
        <f t="shared" ca="1" si="34"/>
        <v>68560.066949467335</v>
      </c>
      <c r="E299" s="231">
        <f t="shared" si="38"/>
        <v>325</v>
      </c>
      <c r="G299" s="232">
        <f t="shared" ca="1" si="35"/>
        <v>108102.98860818819</v>
      </c>
      <c r="H299" s="158">
        <f ca="1">PROBLEMA!$E$105/G299*K299</f>
        <v>6.6488374581862217</v>
      </c>
      <c r="I299" s="158">
        <f t="shared" ca="1" si="36"/>
        <v>371</v>
      </c>
      <c r="J299" s="233">
        <f ca="1">PROBLEMA!$F$102/(I299/IF(Tipo_Seccion_Ale=$J$17,12^0.5,4))</f>
        <v>43.126684636118597</v>
      </c>
      <c r="K299" s="234">
        <f t="shared" ca="1" si="37"/>
        <v>1.1599999999999999</v>
      </c>
    </row>
    <row r="300" spans="1:11" x14ac:dyDescent="0.5">
      <c r="A300" s="228">
        <f t="shared" si="32"/>
        <v>83468.975213227211</v>
      </c>
      <c r="B300" s="228">
        <f ca="1">PROBLEMA!$F$84/(E300/IF(Tipo_Seccion_Ale=$J$17,12^0.5,4))</f>
        <v>49.079754601226995</v>
      </c>
      <c r="C300" s="229">
        <f t="shared" ca="1" si="33"/>
        <v>1.21</v>
      </c>
      <c r="D300" s="230">
        <f t="shared" ca="1" si="34"/>
        <v>68982.62414316299</v>
      </c>
      <c r="E300" s="231">
        <f t="shared" si="38"/>
        <v>326</v>
      </c>
      <c r="G300" s="232">
        <f t="shared" ca="1" si="35"/>
        <v>108686.53944359248</v>
      </c>
      <c r="H300" s="158">
        <f ca="1">PROBLEMA!$E$105/G300*K300</f>
        <v>6.6131390665265473</v>
      </c>
      <c r="I300" s="158">
        <f t="shared" ca="1" si="36"/>
        <v>372</v>
      </c>
      <c r="J300" s="233">
        <f ca="1">PROBLEMA!$F$102/(I300/IF(Tipo_Seccion_Ale=$J$17,12^0.5,4))</f>
        <v>43.01075268817204</v>
      </c>
      <c r="K300" s="234">
        <f t="shared" ca="1" si="37"/>
        <v>1.1599999999999999</v>
      </c>
    </row>
    <row r="301" spans="1:11" x14ac:dyDescent="0.5">
      <c r="A301" s="228">
        <f t="shared" si="32"/>
        <v>83981.840213925752</v>
      </c>
      <c r="B301" s="228">
        <f ca="1">PROBLEMA!$F$84/(E301/IF(Tipo_Seccion_Ale=$J$17,12^0.5,4))</f>
        <v>48.929663608562691</v>
      </c>
      <c r="C301" s="229">
        <f t="shared" ca="1" si="33"/>
        <v>1.2</v>
      </c>
      <c r="D301" s="230">
        <f t="shared" ca="1" si="34"/>
        <v>69984.866844938137</v>
      </c>
      <c r="E301" s="231">
        <f t="shared" si="38"/>
        <v>327</v>
      </c>
      <c r="G301" s="232">
        <f t="shared" ca="1" si="35"/>
        <v>109271.66107532359</v>
      </c>
      <c r="H301" s="158">
        <f ca="1">PROBLEMA!$E$105/G301*K301</f>
        <v>6.5210228616256973</v>
      </c>
      <c r="I301" s="158">
        <f t="shared" ca="1" si="36"/>
        <v>373</v>
      </c>
      <c r="J301" s="233">
        <f ca="1">PROBLEMA!$F$102/(I301/IF(Tipo_Seccion_Ale=$J$17,12^0.5,4))</f>
        <v>42.89544235924933</v>
      </c>
      <c r="K301" s="234">
        <f t="shared" ca="1" si="37"/>
        <v>1.1499999999999999</v>
      </c>
    </row>
    <row r="302" spans="1:11" x14ac:dyDescent="0.5">
      <c r="A302" s="228">
        <f t="shared" si="32"/>
        <v>84496.276010951071</v>
      </c>
      <c r="B302" s="228">
        <f ca="1">PROBLEMA!$F$84/(E302/IF(Tipo_Seccion_Ale=$J$17,12^0.5,4))</f>
        <v>48.780487804878049</v>
      </c>
      <c r="C302" s="229">
        <f t="shared" ca="1" si="33"/>
        <v>1.2</v>
      </c>
      <c r="D302" s="230">
        <f t="shared" ca="1" si="34"/>
        <v>70413.563342459223</v>
      </c>
      <c r="E302" s="231">
        <f t="shared" si="38"/>
        <v>328</v>
      </c>
      <c r="G302" s="232">
        <f t="shared" ca="1" si="35"/>
        <v>109858.35350338147</v>
      </c>
      <c r="H302" s="158">
        <f ca="1">PROBLEMA!$E$105/G302*K302</f>
        <v>6.4861977016437544</v>
      </c>
      <c r="I302" s="158">
        <f t="shared" ca="1" si="36"/>
        <v>374</v>
      </c>
      <c r="J302" s="233">
        <f ca="1">PROBLEMA!$F$102/(I302/IF(Tipo_Seccion_Ale=$J$17,12^0.5,4))</f>
        <v>42.780748663101605</v>
      </c>
      <c r="K302" s="234">
        <f t="shared" ca="1" si="37"/>
        <v>1.1499999999999999</v>
      </c>
    </row>
    <row r="303" spans="1:11" x14ac:dyDescent="0.5">
      <c r="A303" s="228">
        <f t="shared" si="32"/>
        <v>85012.282604303196</v>
      </c>
      <c r="B303" s="228">
        <f ca="1">PROBLEMA!$F$84/(E303/IF(Tipo_Seccion_Ale=$J$17,12^0.5,4))</f>
        <v>48.632218844984806</v>
      </c>
      <c r="C303" s="229">
        <f t="shared" ca="1" si="33"/>
        <v>1.2</v>
      </c>
      <c r="D303" s="230">
        <f t="shared" ca="1" si="34"/>
        <v>70843.568836919338</v>
      </c>
      <c r="E303" s="231">
        <f t="shared" si="38"/>
        <v>329</v>
      </c>
      <c r="G303" s="232">
        <f t="shared" ca="1" si="35"/>
        <v>110446.61672776616</v>
      </c>
      <c r="H303" s="158">
        <f ca="1">PROBLEMA!$E$105/G303*K303</f>
        <v>6.4516507713075324</v>
      </c>
      <c r="I303" s="158">
        <f t="shared" ca="1" si="36"/>
        <v>375</v>
      </c>
      <c r="J303" s="233">
        <f ca="1">PROBLEMA!$F$102/(I303/IF(Tipo_Seccion_Ale=$J$17,12^0.5,4))</f>
        <v>42.666666666666664</v>
      </c>
      <c r="K303" s="234">
        <f t="shared" ca="1" si="37"/>
        <v>1.1499999999999999</v>
      </c>
    </row>
    <row r="304" spans="1:11" x14ac:dyDescent="0.5">
      <c r="A304" s="228">
        <f t="shared" si="32"/>
        <v>85529.859993982114</v>
      </c>
      <c r="B304" s="228">
        <f ca="1">PROBLEMA!$F$84/(E304/IF(Tipo_Seccion_Ale=$J$17,12^0.5,4))</f>
        <v>48.484848484848484</v>
      </c>
      <c r="C304" s="229">
        <f t="shared" ca="1" si="33"/>
        <v>1.2</v>
      </c>
      <c r="D304" s="230">
        <f t="shared" ca="1" si="34"/>
        <v>71274.883328318436</v>
      </c>
      <c r="E304" s="231">
        <f t="shared" si="38"/>
        <v>330</v>
      </c>
      <c r="G304" s="232">
        <f t="shared" ca="1" si="35"/>
        <v>111036.45074847765</v>
      </c>
      <c r="H304" s="158">
        <f ca="1">PROBLEMA!$E$105/G304*K304</f>
        <v>6.4173791146667156</v>
      </c>
      <c r="I304" s="158">
        <f t="shared" ca="1" si="36"/>
        <v>376</v>
      </c>
      <c r="J304" s="233">
        <f ca="1">PROBLEMA!$F$102/(I304/IF(Tipo_Seccion_Ale=$J$17,12^0.5,4))</f>
        <v>42.553191489361701</v>
      </c>
      <c r="K304" s="234">
        <f t="shared" ca="1" si="37"/>
        <v>1.1499999999999999</v>
      </c>
    </row>
    <row r="305" spans="1:11" x14ac:dyDescent="0.5">
      <c r="A305" s="228">
        <f t="shared" si="32"/>
        <v>86049.008179987824</v>
      </c>
      <c r="B305" s="228">
        <f ca="1">PROBLEMA!$F$84/(E305/IF(Tipo_Seccion_Ale=$J$17,12^0.5,4))</f>
        <v>48.338368580060425</v>
      </c>
      <c r="C305" s="229">
        <f t="shared" ca="1" si="33"/>
        <v>1.2</v>
      </c>
      <c r="D305" s="230">
        <f t="shared" ca="1" si="34"/>
        <v>71707.506816656518</v>
      </c>
      <c r="E305" s="231">
        <f t="shared" si="38"/>
        <v>331</v>
      </c>
      <c r="G305" s="232">
        <f t="shared" ca="1" si="35"/>
        <v>111627.85556551593</v>
      </c>
      <c r="H305" s="158">
        <f ca="1">PROBLEMA!$E$105/G305*K305</f>
        <v>6.3833798149225123</v>
      </c>
      <c r="I305" s="158">
        <f t="shared" ca="1" si="36"/>
        <v>377</v>
      </c>
      <c r="J305" s="233">
        <f ca="1">PROBLEMA!$F$102/(I305/IF(Tipo_Seccion_Ale=$J$17,12^0.5,4))</f>
        <v>42.440318302387269</v>
      </c>
      <c r="K305" s="234">
        <f t="shared" ca="1" si="37"/>
        <v>1.1499999999999999</v>
      </c>
    </row>
    <row r="306" spans="1:11" x14ac:dyDescent="0.5">
      <c r="A306" s="228">
        <f t="shared" si="32"/>
        <v>86569.727162320341</v>
      </c>
      <c r="B306" s="228">
        <f ca="1">PROBLEMA!$F$84/(E306/IF(Tipo_Seccion_Ale=$J$17,12^0.5,4))</f>
        <v>48.192771084337352</v>
      </c>
      <c r="C306" s="229">
        <f t="shared" ca="1" si="33"/>
        <v>1.2</v>
      </c>
      <c r="D306" s="230">
        <f t="shared" ca="1" si="34"/>
        <v>72141.439301933628</v>
      </c>
      <c r="E306" s="231">
        <f t="shared" si="38"/>
        <v>332</v>
      </c>
      <c r="G306" s="232">
        <f t="shared" ca="1" si="35"/>
        <v>112220.831178881</v>
      </c>
      <c r="H306" s="158">
        <f ca="1">PROBLEMA!$E$105/G306*K306</f>
        <v>6.3496499938070166</v>
      </c>
      <c r="I306" s="158">
        <f t="shared" ca="1" si="36"/>
        <v>378</v>
      </c>
      <c r="J306" s="233">
        <f ca="1">PROBLEMA!$F$102/(I306/IF(Tipo_Seccion_Ale=$J$17,12^0.5,4))</f>
        <v>42.328042328042329</v>
      </c>
      <c r="K306" s="234">
        <f t="shared" ca="1" si="37"/>
        <v>1.1499999999999999</v>
      </c>
    </row>
    <row r="307" spans="1:11" x14ac:dyDescent="0.5">
      <c r="A307" s="228">
        <f t="shared" si="32"/>
        <v>87092.016940979636</v>
      </c>
      <c r="B307" s="228">
        <f ca="1">PROBLEMA!$F$84/(E307/IF(Tipo_Seccion_Ale=$J$17,12^0.5,4))</f>
        <v>48.048048048048045</v>
      </c>
      <c r="C307" s="229">
        <f t="shared" ca="1" si="33"/>
        <v>1.2</v>
      </c>
      <c r="D307" s="230">
        <f t="shared" ca="1" si="34"/>
        <v>72576.680784149707</v>
      </c>
      <c r="E307" s="231">
        <f t="shared" si="38"/>
        <v>333</v>
      </c>
      <c r="G307" s="232">
        <f t="shared" ca="1" si="35"/>
        <v>112815.37758857287</v>
      </c>
      <c r="H307" s="158">
        <f ca="1">PROBLEMA!$E$105/G307*K307</f>
        <v>6.3161868109740373</v>
      </c>
      <c r="I307" s="158">
        <f t="shared" ca="1" si="36"/>
        <v>379</v>
      </c>
      <c r="J307" s="233">
        <f ca="1">PROBLEMA!$F$102/(I307/IF(Tipo_Seccion_Ale=$J$17,12^0.5,4))</f>
        <v>42.21635883905013</v>
      </c>
      <c r="K307" s="234">
        <f t="shared" ca="1" si="37"/>
        <v>1.1499999999999999</v>
      </c>
    </row>
    <row r="308" spans="1:11" x14ac:dyDescent="0.5">
      <c r="A308" s="228">
        <f t="shared" si="32"/>
        <v>87615.877515965738</v>
      </c>
      <c r="B308" s="228">
        <f ca="1">PROBLEMA!$F$84/(E308/IF(Tipo_Seccion_Ale=$J$17,12^0.5,4))</f>
        <v>47.904191616766468</v>
      </c>
      <c r="C308" s="229">
        <f t="shared" ca="1" si="33"/>
        <v>1.2</v>
      </c>
      <c r="D308" s="230">
        <f t="shared" ca="1" si="34"/>
        <v>73013.231263304784</v>
      </c>
      <c r="E308" s="231">
        <f t="shared" si="38"/>
        <v>334</v>
      </c>
      <c r="G308" s="232">
        <f t="shared" ca="1" si="35"/>
        <v>113411.49479459153</v>
      </c>
      <c r="H308" s="158">
        <f ca="1">PROBLEMA!$E$105/G308*K308</f>
        <v>6.2829874634011196</v>
      </c>
      <c r="I308" s="158">
        <f t="shared" ca="1" si="36"/>
        <v>380</v>
      </c>
      <c r="J308" s="233">
        <f ca="1">PROBLEMA!$F$102/(I308/IF(Tipo_Seccion_Ale=$J$17,12^0.5,4))</f>
        <v>42.10526315789474</v>
      </c>
      <c r="K308" s="234">
        <f t="shared" ca="1" si="37"/>
        <v>1.1499999999999999</v>
      </c>
    </row>
    <row r="309" spans="1:11" x14ac:dyDescent="0.5">
      <c r="A309" s="228">
        <f t="shared" si="32"/>
        <v>88141.308887278632</v>
      </c>
      <c r="B309" s="228">
        <f ca="1">PROBLEMA!$F$84/(E309/IF(Tipo_Seccion_Ale=$J$17,12^0.5,4))</f>
        <v>47.761194029850749</v>
      </c>
      <c r="C309" s="229">
        <f t="shared" ca="1" si="33"/>
        <v>1.2</v>
      </c>
      <c r="D309" s="230">
        <f t="shared" ca="1" si="34"/>
        <v>73451.09073939886</v>
      </c>
      <c r="E309" s="231">
        <f t="shared" si="38"/>
        <v>335</v>
      </c>
      <c r="G309" s="232">
        <f t="shared" ca="1" si="35"/>
        <v>114009.18279693699</v>
      </c>
      <c r="H309" s="158">
        <f ca="1">PROBLEMA!$E$105/G309*K309</f>
        <v>6.2500491848025419</v>
      </c>
      <c r="I309" s="158">
        <f t="shared" ca="1" si="36"/>
        <v>381</v>
      </c>
      <c r="J309" s="233">
        <f ca="1">PROBLEMA!$F$102/(I309/IF(Tipo_Seccion_Ale=$J$17,12^0.5,4))</f>
        <v>41.99475065616798</v>
      </c>
      <c r="K309" s="234">
        <f t="shared" ca="1" si="37"/>
        <v>1.1499999999999999</v>
      </c>
    </row>
    <row r="310" spans="1:11" x14ac:dyDescent="0.5">
      <c r="A310" s="228">
        <f t="shared" si="32"/>
        <v>88668.311054918318</v>
      </c>
      <c r="B310" s="228">
        <f ca="1">PROBLEMA!$F$84/(E310/IF(Tipo_Seccion_Ale=$J$17,12^0.5,4))</f>
        <v>47.61904761904762</v>
      </c>
      <c r="C310" s="229">
        <f t="shared" ca="1" si="33"/>
        <v>1.2</v>
      </c>
      <c r="D310" s="230">
        <f t="shared" ca="1" si="34"/>
        <v>73890.259212431934</v>
      </c>
      <c r="E310" s="231">
        <f t="shared" si="38"/>
        <v>336</v>
      </c>
      <c r="G310" s="232">
        <f t="shared" ca="1" si="35"/>
        <v>114608.44159560924</v>
      </c>
      <c r="H310" s="158">
        <f ca="1">PROBLEMA!$E$105/G310*K310</f>
        <v>6.2173692450530531</v>
      </c>
      <c r="I310" s="158">
        <f t="shared" ca="1" si="36"/>
        <v>382</v>
      </c>
      <c r="J310" s="233">
        <f ca="1">PROBLEMA!$F$102/(I310/IF(Tipo_Seccion_Ale=$J$17,12^0.5,4))</f>
        <v>41.8848167539267</v>
      </c>
      <c r="K310" s="234">
        <f t="shared" ca="1" si="37"/>
        <v>1.1499999999999999</v>
      </c>
    </row>
    <row r="311" spans="1:11" x14ac:dyDescent="0.5">
      <c r="A311" s="228">
        <f t="shared" si="32"/>
        <v>89196.884018884797</v>
      </c>
      <c r="B311" s="228">
        <f ca="1">PROBLEMA!$F$84/(E311/IF(Tipo_Seccion_Ale=$J$17,12^0.5,4))</f>
        <v>47.47774480712166</v>
      </c>
      <c r="C311" s="229">
        <f t="shared" ca="1" si="33"/>
        <v>1.2</v>
      </c>
      <c r="D311" s="230">
        <f t="shared" ca="1" si="34"/>
        <v>74330.736682404007</v>
      </c>
      <c r="E311" s="231">
        <f t="shared" si="38"/>
        <v>337</v>
      </c>
      <c r="G311" s="232">
        <f t="shared" ca="1" si="35"/>
        <v>115209.27119060828</v>
      </c>
      <c r="H311" s="158">
        <f ca="1">PROBLEMA!$E$105/G311*K311</f>
        <v>6.1849449496221371</v>
      </c>
      <c r="I311" s="158">
        <f t="shared" ca="1" si="36"/>
        <v>383</v>
      </c>
      <c r="J311" s="233">
        <f ca="1">PROBLEMA!$F$102/(I311/IF(Tipo_Seccion_Ale=$J$17,12^0.5,4))</f>
        <v>41.775456919060055</v>
      </c>
      <c r="K311" s="234">
        <f t="shared" ca="1" si="37"/>
        <v>1.1499999999999999</v>
      </c>
    </row>
    <row r="312" spans="1:11" x14ac:dyDescent="0.5">
      <c r="A312" s="228">
        <f t="shared" si="32"/>
        <v>89727.027779178083</v>
      </c>
      <c r="B312" s="228">
        <f ca="1">PROBLEMA!$F$84/(E312/IF(Tipo_Seccion_Ale=$J$17,12^0.5,4))</f>
        <v>47.337278106508876</v>
      </c>
      <c r="C312" s="229">
        <f t="shared" ca="1" si="33"/>
        <v>1.2</v>
      </c>
      <c r="D312" s="230">
        <f t="shared" ca="1" si="34"/>
        <v>74772.523149315079</v>
      </c>
      <c r="E312" s="231">
        <f t="shared" si="38"/>
        <v>338</v>
      </c>
      <c r="G312" s="232">
        <f t="shared" ca="1" si="35"/>
        <v>115811.67158193413</v>
      </c>
      <c r="H312" s="158">
        <f ca="1">PROBLEMA!$E$105/G312*K312</f>
        <v>6.1527736390185659</v>
      </c>
      <c r="I312" s="158">
        <f t="shared" ca="1" si="36"/>
        <v>384</v>
      </c>
      <c r="J312" s="233">
        <f ca="1">PROBLEMA!$F$102/(I312/IF(Tipo_Seccion_Ale=$J$17,12^0.5,4))</f>
        <v>41.666666666666664</v>
      </c>
      <c r="K312" s="234">
        <f t="shared" ca="1" si="37"/>
        <v>1.1499999999999999</v>
      </c>
    </row>
    <row r="313" spans="1:11" x14ac:dyDescent="0.5">
      <c r="A313" s="228">
        <f t="shared" si="32"/>
        <v>90258.742335798161</v>
      </c>
      <c r="B313" s="228">
        <f ca="1">PROBLEMA!$F$84/(E313/IF(Tipo_Seccion_Ale=$J$17,12^0.5,4))</f>
        <v>47.197640117994098</v>
      </c>
      <c r="C313" s="229">
        <f t="shared" ca="1" si="33"/>
        <v>1.2</v>
      </c>
      <c r="D313" s="230">
        <f t="shared" ca="1" si="34"/>
        <v>75215.618613165134</v>
      </c>
      <c r="E313" s="231">
        <f t="shared" si="38"/>
        <v>339</v>
      </c>
      <c r="G313" s="232">
        <f t="shared" ca="1" si="35"/>
        <v>116415.64276958678</v>
      </c>
      <c r="H313" s="158">
        <f ca="1">PROBLEMA!$E$105/G313*K313</f>
        <v>6.1208526882450442</v>
      </c>
      <c r="I313" s="158">
        <f t="shared" ca="1" si="36"/>
        <v>385</v>
      </c>
      <c r="J313" s="233">
        <f ca="1">PROBLEMA!$F$102/(I313/IF(Tipo_Seccion_Ale=$J$17,12^0.5,4))</f>
        <v>41.558441558441558</v>
      </c>
      <c r="K313" s="234">
        <f t="shared" ca="1" si="37"/>
        <v>1.1499999999999999</v>
      </c>
    </row>
    <row r="314" spans="1:11" x14ac:dyDescent="0.5">
      <c r="A314" s="228">
        <f t="shared" si="32"/>
        <v>90792.027688745016</v>
      </c>
      <c r="B314" s="228">
        <f ca="1">PROBLEMA!$F$84/(E314/IF(Tipo_Seccion_Ale=$J$17,12^0.5,4))</f>
        <v>47.058823529411768</v>
      </c>
      <c r="C314" s="229">
        <f t="shared" ca="1" si="33"/>
        <v>1.2</v>
      </c>
      <c r="D314" s="230">
        <f t="shared" ca="1" si="34"/>
        <v>75660.023073954188</v>
      </c>
      <c r="E314" s="231">
        <f t="shared" si="38"/>
        <v>340</v>
      </c>
      <c r="G314" s="232">
        <f t="shared" ca="1" si="35"/>
        <v>117021.18475356621</v>
      </c>
      <c r="H314" s="158">
        <f ca="1">PROBLEMA!$E$105/G314*K314</f>
        <v>6.0891795062627292</v>
      </c>
      <c r="I314" s="158">
        <f t="shared" ca="1" si="36"/>
        <v>386</v>
      </c>
      <c r="J314" s="233">
        <f ca="1">PROBLEMA!$F$102/(I314/IF(Tipo_Seccion_Ale=$J$17,12^0.5,4))</f>
        <v>41.450777202072537</v>
      </c>
      <c r="K314" s="234">
        <f t="shared" ca="1" si="37"/>
        <v>1.1499999999999999</v>
      </c>
    </row>
    <row r="315" spans="1:11" x14ac:dyDescent="0.5">
      <c r="A315" s="228">
        <f t="shared" si="32"/>
        <v>91326.883838018679</v>
      </c>
      <c r="B315" s="228">
        <f ca="1">PROBLEMA!$F$84/(E315/IF(Tipo_Seccion_Ale=$J$17,12^0.5,4))</f>
        <v>46.920821114369502</v>
      </c>
      <c r="C315" s="229">
        <f t="shared" ca="1" si="33"/>
        <v>1.19</v>
      </c>
      <c r="D315" s="230">
        <f t="shared" ca="1" si="34"/>
        <v>76745.280536150152</v>
      </c>
      <c r="E315" s="231">
        <f t="shared" si="38"/>
        <v>341</v>
      </c>
      <c r="G315" s="232">
        <f t="shared" ca="1" si="35"/>
        <v>117628.29753387244</v>
      </c>
      <c r="H315" s="158">
        <f ca="1">PROBLEMA!$E$105/G315*K315</f>
        <v>6.0577515354654281</v>
      </c>
      <c r="I315" s="158">
        <f t="shared" ca="1" si="36"/>
        <v>387</v>
      </c>
      <c r="J315" s="233">
        <f ca="1">PROBLEMA!$F$102/(I315/IF(Tipo_Seccion_Ale=$J$17,12^0.5,4))</f>
        <v>41.343669250645995</v>
      </c>
      <c r="K315" s="234">
        <f t="shared" ca="1" si="37"/>
        <v>1.1499999999999999</v>
      </c>
    </row>
    <row r="316" spans="1:11" x14ac:dyDescent="0.5">
      <c r="A316" s="228">
        <f t="shared" si="32"/>
        <v>91863.310783619134</v>
      </c>
      <c r="B316" s="228">
        <f ca="1">PROBLEMA!$F$84/(E316/IF(Tipo_Seccion_Ale=$J$17,12^0.5,4))</f>
        <v>46.783625730994153</v>
      </c>
      <c r="C316" s="229">
        <f t="shared" ca="1" si="33"/>
        <v>1.19</v>
      </c>
      <c r="D316" s="230">
        <f t="shared" ca="1" si="34"/>
        <v>77196.059482032884</v>
      </c>
      <c r="E316" s="231">
        <f t="shared" si="38"/>
        <v>342</v>
      </c>
      <c r="G316" s="232">
        <f t="shared" ca="1" si="35"/>
        <v>118236.98111050545</v>
      </c>
      <c r="H316" s="158">
        <f ca="1">PROBLEMA!$E$105/G316*K316</f>
        <v>6.0265662511632598</v>
      </c>
      <c r="I316" s="158">
        <f t="shared" ca="1" si="36"/>
        <v>388</v>
      </c>
      <c r="J316" s="233">
        <f ca="1">PROBLEMA!$F$102/(I316/IF(Tipo_Seccion_Ale=$J$17,12^0.5,4))</f>
        <v>41.237113402061858</v>
      </c>
      <c r="K316" s="234">
        <f t="shared" ca="1" si="37"/>
        <v>1.1499999999999999</v>
      </c>
    </row>
    <row r="317" spans="1:11" x14ac:dyDescent="0.5">
      <c r="A317" s="228">
        <f t="shared" si="32"/>
        <v>92401.308525546396</v>
      </c>
      <c r="B317" s="228">
        <f ca="1">PROBLEMA!$F$84/(E317/IF(Tipo_Seccion_Ale=$J$17,12^0.5,4))</f>
        <v>46.647230320699705</v>
      </c>
      <c r="C317" s="229">
        <f t="shared" ca="1" si="33"/>
        <v>1.19</v>
      </c>
      <c r="D317" s="230">
        <f t="shared" ca="1" si="34"/>
        <v>77648.158424828915</v>
      </c>
      <c r="E317" s="231">
        <f t="shared" si="38"/>
        <v>343</v>
      </c>
      <c r="G317" s="232">
        <f t="shared" ca="1" si="35"/>
        <v>118847.23548346527</v>
      </c>
      <c r="H317" s="158">
        <f ca="1">PROBLEMA!$E$105/G317*K317</f>
        <v>5.9956211610756052</v>
      </c>
      <c r="I317" s="158">
        <f t="shared" ca="1" si="36"/>
        <v>389</v>
      </c>
      <c r="J317" s="233">
        <f ca="1">PROBLEMA!$F$102/(I317/IF(Tipo_Seccion_Ale=$J$17,12^0.5,4))</f>
        <v>41.131105398457585</v>
      </c>
      <c r="K317" s="234">
        <f t="shared" ca="1" si="37"/>
        <v>1.1499999999999999</v>
      </c>
    </row>
    <row r="318" spans="1:11" x14ac:dyDescent="0.5">
      <c r="A318" s="228">
        <f t="shared" si="32"/>
        <v>92940.877063800435</v>
      </c>
      <c r="B318" s="228">
        <f ca="1">PROBLEMA!$F$84/(E318/IF(Tipo_Seccion_Ale=$J$17,12^0.5,4))</f>
        <v>46.511627906976742</v>
      </c>
      <c r="C318" s="229">
        <f t="shared" ca="1" si="33"/>
        <v>1.19</v>
      </c>
      <c r="D318" s="230">
        <f t="shared" ca="1" si="34"/>
        <v>78101.577364538185</v>
      </c>
      <c r="E318" s="231">
        <f t="shared" si="38"/>
        <v>344</v>
      </c>
      <c r="G318" s="232">
        <f t="shared" ca="1" si="35"/>
        <v>119459.06065275188</v>
      </c>
      <c r="H318" s="158">
        <f ca="1">PROBLEMA!$E$105/G318*K318</f>
        <v>5.9649138048331469</v>
      </c>
      <c r="I318" s="158">
        <f t="shared" ca="1" si="36"/>
        <v>390</v>
      </c>
      <c r="J318" s="233">
        <f ca="1">PROBLEMA!$F$102/(I318/IF(Tipo_Seccion_Ale=$J$17,12^0.5,4))</f>
        <v>41.025641025641029</v>
      </c>
      <c r="K318" s="234">
        <f t="shared" ca="1" si="37"/>
        <v>1.1499999999999999</v>
      </c>
    </row>
    <row r="319" spans="1:11" x14ac:dyDescent="0.5">
      <c r="A319" s="228">
        <f t="shared" si="32"/>
        <v>93482.016398381282</v>
      </c>
      <c r="B319" s="228">
        <f ca="1">PROBLEMA!$F$84/(E319/IF(Tipo_Seccion_Ale=$J$17,12^0.5,4))</f>
        <v>46.376811594202898</v>
      </c>
      <c r="C319" s="229">
        <f t="shared" ca="1" si="33"/>
        <v>1.19</v>
      </c>
      <c r="D319" s="230">
        <f t="shared" ca="1" si="34"/>
        <v>78556.316301160739</v>
      </c>
      <c r="E319" s="231">
        <f t="shared" si="38"/>
        <v>345</v>
      </c>
      <c r="G319" s="232">
        <f t="shared" ca="1" si="35"/>
        <v>120072.45661836529</v>
      </c>
      <c r="H319" s="158">
        <f ca="1">PROBLEMA!$E$105/G319*K319</f>
        <v>5.8828379121541179</v>
      </c>
      <c r="I319" s="158">
        <f t="shared" ca="1" si="36"/>
        <v>391</v>
      </c>
      <c r="J319" s="233">
        <f ca="1">PROBLEMA!$F$102/(I319/IF(Tipo_Seccion_Ale=$J$17,12^0.5,4))</f>
        <v>40.92071611253197</v>
      </c>
      <c r="K319" s="234">
        <f t="shared" ca="1" si="37"/>
        <v>1.1399999999999999</v>
      </c>
    </row>
    <row r="320" spans="1:11" x14ac:dyDescent="0.5">
      <c r="A320" s="228">
        <f t="shared" si="32"/>
        <v>94024.726529288921</v>
      </c>
      <c r="B320" s="228">
        <f ca="1">PROBLEMA!$F$84/(E320/IF(Tipo_Seccion_Ale=$J$17,12^0.5,4))</f>
        <v>46.24277456647399</v>
      </c>
      <c r="C320" s="229">
        <f t="shared" ca="1" si="33"/>
        <v>1.19</v>
      </c>
      <c r="D320" s="230">
        <f t="shared" ca="1" si="34"/>
        <v>79012.375234696578</v>
      </c>
      <c r="E320" s="231">
        <f t="shared" si="38"/>
        <v>346</v>
      </c>
      <c r="G320" s="232">
        <f t="shared" ca="1" si="35"/>
        <v>120687.4233803055</v>
      </c>
      <c r="H320" s="158">
        <f ca="1">PROBLEMA!$E$105/G320*K320</f>
        <v>5.8528617167848918</v>
      </c>
      <c r="I320" s="158">
        <f t="shared" ca="1" si="36"/>
        <v>392</v>
      </c>
      <c r="J320" s="233">
        <f ca="1">PROBLEMA!$F$102/(I320/IF(Tipo_Seccion_Ale=$J$17,12^0.5,4))</f>
        <v>40.816326530612244</v>
      </c>
      <c r="K320" s="234">
        <f t="shared" ca="1" si="37"/>
        <v>1.1399999999999999</v>
      </c>
    </row>
    <row r="321" spans="1:11" x14ac:dyDescent="0.5">
      <c r="A321" s="228">
        <f t="shared" si="32"/>
        <v>94569.007456523352</v>
      </c>
      <c r="B321" s="228">
        <f ca="1">PROBLEMA!$F$84/(E321/IF(Tipo_Seccion_Ale=$J$17,12^0.5,4))</f>
        <v>46.10951008645533</v>
      </c>
      <c r="C321" s="229">
        <f t="shared" ca="1" si="33"/>
        <v>1.19</v>
      </c>
      <c r="D321" s="230">
        <f t="shared" ca="1" si="34"/>
        <v>79469.75416514567</v>
      </c>
      <c r="E321" s="231">
        <f t="shared" si="38"/>
        <v>347</v>
      </c>
      <c r="G321" s="232">
        <f t="shared" ca="1" si="35"/>
        <v>121303.96093857249</v>
      </c>
      <c r="H321" s="158">
        <f ca="1">PROBLEMA!$E$105/G321*K321</f>
        <v>5.8231140560834556</v>
      </c>
      <c r="I321" s="158">
        <f t="shared" ca="1" si="36"/>
        <v>393</v>
      </c>
      <c r="J321" s="233">
        <f ca="1">PROBLEMA!$F$102/(I321/IF(Tipo_Seccion_Ale=$J$17,12^0.5,4))</f>
        <v>40.712468193384225</v>
      </c>
      <c r="K321" s="234">
        <f t="shared" ca="1" si="37"/>
        <v>1.1399999999999999</v>
      </c>
    </row>
    <row r="322" spans="1:11" x14ac:dyDescent="0.5">
      <c r="A322" s="228">
        <f t="shared" si="32"/>
        <v>95114.859180084575</v>
      </c>
      <c r="B322" s="228">
        <f ca="1">PROBLEMA!$F$84/(E322/IF(Tipo_Seccion_Ale=$J$17,12^0.5,4))</f>
        <v>45.977011494252871</v>
      </c>
      <c r="C322" s="229">
        <f t="shared" ca="1" si="33"/>
        <v>1.18</v>
      </c>
      <c r="D322" s="230">
        <f t="shared" ca="1" si="34"/>
        <v>80605.812864478459</v>
      </c>
      <c r="E322" s="231">
        <f t="shared" si="38"/>
        <v>348</v>
      </c>
      <c r="G322" s="232">
        <f t="shared" ca="1" si="35"/>
        <v>121922.06929316628</v>
      </c>
      <c r="H322" s="158">
        <f ca="1">PROBLEMA!$E$105/G322*K322</f>
        <v>5.7935926128477524</v>
      </c>
      <c r="I322" s="158">
        <f t="shared" ca="1" si="36"/>
        <v>394</v>
      </c>
      <c r="J322" s="233">
        <f ca="1">PROBLEMA!$F$102/(I322/IF(Tipo_Seccion_Ale=$J$17,12^0.5,4))</f>
        <v>40.609137055837564</v>
      </c>
      <c r="K322" s="234">
        <f t="shared" ca="1" si="37"/>
        <v>1.1399999999999999</v>
      </c>
    </row>
    <row r="323" spans="1:11" x14ac:dyDescent="0.5">
      <c r="A323" s="228">
        <f t="shared" si="32"/>
        <v>95662.281699972591</v>
      </c>
      <c r="B323" s="228">
        <f ca="1">PROBLEMA!$F$84/(E323/IF(Tipo_Seccion_Ale=$J$17,12^0.5,4))</f>
        <v>45.845272206303726</v>
      </c>
      <c r="C323" s="229">
        <f t="shared" ca="1" si="33"/>
        <v>1.18</v>
      </c>
      <c r="D323" s="230">
        <f t="shared" ca="1" si="34"/>
        <v>81069.730254214068</v>
      </c>
      <c r="E323" s="231">
        <f t="shared" si="38"/>
        <v>349</v>
      </c>
      <c r="G323" s="232">
        <f t="shared" ca="1" si="35"/>
        <v>122541.74844408687</v>
      </c>
      <c r="H323" s="158">
        <f ca="1">PROBLEMA!$E$105/G323*K323</f>
        <v>5.7642950991702211</v>
      </c>
      <c r="I323" s="158">
        <f t="shared" ca="1" si="36"/>
        <v>395</v>
      </c>
      <c r="J323" s="233">
        <f ca="1">PROBLEMA!$F$102/(I323/IF(Tipo_Seccion_Ale=$J$17,12^0.5,4))</f>
        <v>40.506329113924053</v>
      </c>
      <c r="K323" s="234">
        <f t="shared" ca="1" si="37"/>
        <v>1.1399999999999999</v>
      </c>
    </row>
    <row r="324" spans="1:11" x14ac:dyDescent="0.5">
      <c r="A324" s="228">
        <f t="shared" si="32"/>
        <v>96211.275016187414</v>
      </c>
      <c r="B324" s="228">
        <f ca="1">PROBLEMA!$F$84/(E324/IF(Tipo_Seccion_Ale=$J$17,12^0.5,4))</f>
        <v>45.714285714285715</v>
      </c>
      <c r="C324" s="229">
        <f t="shared" ca="1" si="33"/>
        <v>1.18</v>
      </c>
      <c r="D324" s="230">
        <f t="shared" ca="1" si="34"/>
        <v>81534.978827277475</v>
      </c>
      <c r="E324" s="231">
        <f t="shared" si="38"/>
        <v>350</v>
      </c>
      <c r="G324" s="232">
        <f t="shared" ca="1" si="35"/>
        <v>123162.99839133424</v>
      </c>
      <c r="H324" s="158">
        <f ca="1">PROBLEMA!$E$105/G324*K324</f>
        <v>5.7352192559945019</v>
      </c>
      <c r="I324" s="158">
        <f t="shared" ca="1" si="36"/>
        <v>396</v>
      </c>
      <c r="J324" s="233">
        <f ca="1">PROBLEMA!$F$102/(I324/IF(Tipo_Seccion_Ale=$J$17,12^0.5,4))</f>
        <v>40.404040404040401</v>
      </c>
      <c r="K324" s="234">
        <f t="shared" ca="1" si="37"/>
        <v>1.1399999999999999</v>
      </c>
    </row>
    <row r="325" spans="1:11" x14ac:dyDescent="0.5">
      <c r="A325" s="228">
        <f t="shared" si="32"/>
        <v>96761.839128729029</v>
      </c>
      <c r="B325" s="228">
        <f ca="1">PROBLEMA!$F$84/(E325/IF(Tipo_Seccion_Ale=$J$17,12^0.5,4))</f>
        <v>45.584045584045583</v>
      </c>
      <c r="C325" s="229">
        <f t="shared" ca="1" si="33"/>
        <v>1.18</v>
      </c>
      <c r="D325" s="230">
        <f t="shared" ca="1" si="34"/>
        <v>82001.558583668666</v>
      </c>
      <c r="E325" s="231">
        <f t="shared" si="38"/>
        <v>351</v>
      </c>
      <c r="G325" s="232">
        <f t="shared" ca="1" si="35"/>
        <v>123785.81913490842</v>
      </c>
      <c r="H325" s="158">
        <f ca="1">PROBLEMA!$E$105/G325*K325</f>
        <v>5.7063628526799466</v>
      </c>
      <c r="I325" s="158">
        <f t="shared" ca="1" si="36"/>
        <v>397</v>
      </c>
      <c r="J325" s="233">
        <f ca="1">PROBLEMA!$F$102/(I325/IF(Tipo_Seccion_Ale=$J$17,12^0.5,4))</f>
        <v>40.302267002518889</v>
      </c>
      <c r="K325" s="234">
        <f t="shared" ca="1" si="37"/>
        <v>1.1399999999999999</v>
      </c>
    </row>
    <row r="326" spans="1:11" x14ac:dyDescent="0.5">
      <c r="A326" s="228">
        <f t="shared" si="32"/>
        <v>97313.974037597436</v>
      </c>
      <c r="B326" s="228">
        <f ca="1">PROBLEMA!$F$84/(E326/IF(Tipo_Seccion_Ale=$J$17,12^0.5,4))</f>
        <v>45.454545454545453</v>
      </c>
      <c r="C326" s="229">
        <f t="shared" ca="1" si="33"/>
        <v>1.18</v>
      </c>
      <c r="D326" s="230">
        <f t="shared" ca="1" si="34"/>
        <v>82469.469523387655</v>
      </c>
      <c r="E326" s="231">
        <f t="shared" si="38"/>
        <v>352</v>
      </c>
      <c r="G326" s="232">
        <f t="shared" ca="1" si="35"/>
        <v>124410.21067480939</v>
      </c>
      <c r="H326" s="158">
        <f ca="1">PROBLEMA!$E$105/G326*K326</f>
        <v>5.6777236865737839</v>
      </c>
      <c r="I326" s="158">
        <f t="shared" ca="1" si="36"/>
        <v>398</v>
      </c>
      <c r="J326" s="233">
        <f ca="1">PROBLEMA!$F$102/(I326/IF(Tipo_Seccion_Ale=$J$17,12^0.5,4))</f>
        <v>40.201005025125632</v>
      </c>
      <c r="K326" s="234">
        <f t="shared" ca="1" si="37"/>
        <v>1.1399999999999999</v>
      </c>
    </row>
    <row r="327" spans="1:11" x14ac:dyDescent="0.5">
      <c r="A327" s="228">
        <f t="shared" si="32"/>
        <v>97867.679742792636</v>
      </c>
      <c r="B327" s="228">
        <f ca="1">PROBLEMA!$F$84/(E327/IF(Tipo_Seccion_Ale=$J$17,12^0.5,4))</f>
        <v>45.325779036827193</v>
      </c>
      <c r="C327" s="229">
        <f t="shared" ca="1" si="33"/>
        <v>1.18</v>
      </c>
      <c r="D327" s="230">
        <f t="shared" ca="1" si="34"/>
        <v>82938.711646434444</v>
      </c>
      <c r="E327" s="231">
        <f t="shared" si="38"/>
        <v>353</v>
      </c>
      <c r="G327" s="232">
        <f t="shared" ca="1" si="35"/>
        <v>125036.17301103716</v>
      </c>
      <c r="H327" s="158">
        <f ca="1">PROBLEMA!$E$105/G327*K327</f>
        <v>5.649299582590773</v>
      </c>
      <c r="I327" s="158">
        <f t="shared" ca="1" si="36"/>
        <v>399</v>
      </c>
      <c r="J327" s="233">
        <f ca="1">PROBLEMA!$F$102/(I327/IF(Tipo_Seccion_Ale=$J$17,12^0.5,4))</f>
        <v>40.100250626566414</v>
      </c>
      <c r="K327" s="234">
        <f t="shared" ca="1" si="37"/>
        <v>1.1399999999999999</v>
      </c>
    </row>
    <row r="328" spans="1:11" x14ac:dyDescent="0.5">
      <c r="A328" s="228">
        <f t="shared" si="32"/>
        <v>98422.956244314628</v>
      </c>
      <c r="B328" s="228">
        <f ca="1">PROBLEMA!$F$84/(E328/IF(Tipo_Seccion_Ale=$J$17,12^0.5,4))</f>
        <v>45.197740112994353</v>
      </c>
      <c r="C328" s="229">
        <f t="shared" ca="1" si="33"/>
        <v>1.18</v>
      </c>
      <c r="D328" s="230">
        <f t="shared" ca="1" si="34"/>
        <v>83409.284952809016</v>
      </c>
      <c r="E328" s="231">
        <f t="shared" si="38"/>
        <v>354</v>
      </c>
      <c r="G328" s="232">
        <f t="shared" ca="1" si="35"/>
        <v>125663.70614359173</v>
      </c>
      <c r="H328" s="158">
        <f ca="1">PROBLEMA!$E$105/G328*K328</f>
        <v>5.5717805998809098</v>
      </c>
      <c r="I328" s="158">
        <f t="shared" ca="1" si="36"/>
        <v>400</v>
      </c>
      <c r="J328" s="233">
        <f ca="1">PROBLEMA!$F$102/(I328/IF(Tipo_Seccion_Ale=$J$17,12^0.5,4))</f>
        <v>40</v>
      </c>
      <c r="K328" s="234">
        <f t="shared" ca="1" si="37"/>
        <v>1.1299999999999999</v>
      </c>
    </row>
    <row r="329" spans="1:11" x14ac:dyDescent="0.5">
      <c r="A329" s="228">
        <f t="shared" si="32"/>
        <v>98979.803542163412</v>
      </c>
      <c r="B329" s="228">
        <f ca="1">PROBLEMA!$F$84/(E329/IF(Tipo_Seccion_Ale=$J$17,12^0.5,4))</f>
        <v>45.070422535211264</v>
      </c>
      <c r="C329" s="229">
        <f t="shared" ca="1" si="33"/>
        <v>1.18</v>
      </c>
      <c r="D329" s="230">
        <f t="shared" ca="1" si="34"/>
        <v>83881.189442511371</v>
      </c>
      <c r="E329" s="231">
        <f t="shared" si="38"/>
        <v>355</v>
      </c>
      <c r="G329" s="232">
        <f t="shared" ca="1" si="35"/>
        <v>126292.81007247308</v>
      </c>
      <c r="H329" s="158">
        <f ca="1">PROBLEMA!$E$105/G329*K329</f>
        <v>5.5440258206164499</v>
      </c>
      <c r="I329" s="158">
        <f t="shared" ca="1" si="36"/>
        <v>401</v>
      </c>
      <c r="J329" s="233">
        <f ca="1">PROBLEMA!$F$102/(I329/IF(Tipo_Seccion_Ale=$J$17,12^0.5,4))</f>
        <v>39.900249376558605</v>
      </c>
      <c r="K329" s="234">
        <f t="shared" ca="1" si="37"/>
        <v>1.1299999999999999</v>
      </c>
    </row>
    <row r="330" spans="1:11" x14ac:dyDescent="0.5">
      <c r="A330" s="228">
        <f t="shared" si="32"/>
        <v>99538.221636339003</v>
      </c>
      <c r="B330" s="228">
        <f ca="1">PROBLEMA!$F$84/(E330/IF(Tipo_Seccion_Ale=$J$17,12^0.5,4))</f>
        <v>44.943820224719104</v>
      </c>
      <c r="C330" s="229">
        <f t="shared" ca="1" si="33"/>
        <v>1.17</v>
      </c>
      <c r="D330" s="230">
        <f t="shared" ca="1" si="34"/>
        <v>85075.403107982056</v>
      </c>
      <c r="E330" s="231">
        <f t="shared" si="38"/>
        <v>356</v>
      </c>
      <c r="G330" s="232">
        <f t="shared" ca="1" si="35"/>
        <v>126923.48479768123</v>
      </c>
      <c r="H330" s="158">
        <f ca="1">PROBLEMA!$E$105/G330*K330</f>
        <v>5.5164779088447418</v>
      </c>
      <c r="I330" s="158">
        <f t="shared" ca="1" si="36"/>
        <v>402</v>
      </c>
      <c r="J330" s="233">
        <f ca="1">PROBLEMA!$F$102/(I330/IF(Tipo_Seccion_Ale=$J$17,12^0.5,4))</f>
        <v>39.800995024875618</v>
      </c>
      <c r="K330" s="234">
        <f t="shared" ca="1" si="37"/>
        <v>1.1299999999999999</v>
      </c>
    </row>
    <row r="331" spans="1:11" x14ac:dyDescent="0.5">
      <c r="A331" s="228">
        <f t="shared" si="32"/>
        <v>100098.21052684139</v>
      </c>
      <c r="B331" s="228">
        <f ca="1">PROBLEMA!$F$84/(E331/IF(Tipo_Seccion_Ale=$J$17,12^0.5,4))</f>
        <v>44.817927170868344</v>
      </c>
      <c r="C331" s="229">
        <f t="shared" ca="1" si="33"/>
        <v>1.17</v>
      </c>
      <c r="D331" s="230">
        <f t="shared" ca="1" si="34"/>
        <v>85554.026091317428</v>
      </c>
      <c r="E331" s="231">
        <f t="shared" si="38"/>
        <v>357</v>
      </c>
      <c r="G331" s="232">
        <f t="shared" ca="1" si="35"/>
        <v>127555.73031921618</v>
      </c>
      <c r="H331" s="158">
        <f ca="1">PROBLEMA!$E$105/G331*K331</f>
        <v>5.4891348138400309</v>
      </c>
      <c r="I331" s="158">
        <f t="shared" ca="1" si="36"/>
        <v>403</v>
      </c>
      <c r="J331" s="233">
        <f ca="1">PROBLEMA!$F$102/(I331/IF(Tipo_Seccion_Ale=$J$17,12^0.5,4))</f>
        <v>39.702233250620345</v>
      </c>
      <c r="K331" s="234">
        <f t="shared" ca="1" si="37"/>
        <v>1.1299999999999999</v>
      </c>
    </row>
    <row r="332" spans="1:11" x14ac:dyDescent="0.5">
      <c r="A332" s="228">
        <f t="shared" si="32"/>
        <v>100659.77021367056</v>
      </c>
      <c r="B332" s="228">
        <f ca="1">PROBLEMA!$F$84/(E332/IF(Tipo_Seccion_Ale=$J$17,12^0.5,4))</f>
        <v>44.692737430167597</v>
      </c>
      <c r="C332" s="229">
        <f t="shared" ca="1" si="33"/>
        <v>1.17</v>
      </c>
      <c r="D332" s="230">
        <f t="shared" ca="1" si="34"/>
        <v>86033.991635615865</v>
      </c>
      <c r="E332" s="231">
        <f t="shared" si="38"/>
        <v>358</v>
      </c>
      <c r="G332" s="232">
        <f t="shared" ca="1" si="35"/>
        <v>128189.54663707792</v>
      </c>
      <c r="H332" s="158">
        <f ca="1">PROBLEMA!$E$105/G332*K332</f>
        <v>5.46199451022538</v>
      </c>
      <c r="I332" s="158">
        <f t="shared" ca="1" si="36"/>
        <v>404</v>
      </c>
      <c r="J332" s="233">
        <f ca="1">PROBLEMA!$F$102/(I332/IF(Tipo_Seccion_Ale=$J$17,12^0.5,4))</f>
        <v>39.603960396039604</v>
      </c>
      <c r="K332" s="234">
        <f t="shared" ca="1" si="37"/>
        <v>1.1299999999999999</v>
      </c>
    </row>
    <row r="333" spans="1:11" x14ac:dyDescent="0.5">
      <c r="A333" s="228">
        <f t="shared" si="32"/>
        <v>101222.90069682653</v>
      </c>
      <c r="B333" s="228">
        <f ca="1">PROBLEMA!$F$84/(E333/IF(Tipo_Seccion_Ale=$J$17,12^0.5,4))</f>
        <v>44.568245125348191</v>
      </c>
      <c r="C333" s="229">
        <f t="shared" ca="1" si="33"/>
        <v>1.17</v>
      </c>
      <c r="D333" s="230">
        <f t="shared" ca="1" si="34"/>
        <v>86515.299740877381</v>
      </c>
      <c r="E333" s="231">
        <f t="shared" si="38"/>
        <v>359</v>
      </c>
      <c r="G333" s="232">
        <f t="shared" ca="1" si="35"/>
        <v>128824.93375126645</v>
      </c>
      <c r="H333" s="158">
        <f ca="1">PROBLEMA!$E$105/G333*K333</f>
        <v>5.4350549975975966</v>
      </c>
      <c r="I333" s="158">
        <f t="shared" ca="1" si="36"/>
        <v>405</v>
      </c>
      <c r="J333" s="233">
        <f ca="1">PROBLEMA!$F$102/(I333/IF(Tipo_Seccion_Ale=$J$17,12^0.5,4))</f>
        <v>39.506172839506171</v>
      </c>
      <c r="K333" s="234">
        <f t="shared" ca="1" si="37"/>
        <v>1.1299999999999999</v>
      </c>
    </row>
    <row r="334" spans="1:11" x14ac:dyDescent="0.5">
      <c r="A334" s="228">
        <f t="shared" si="32"/>
        <v>101787.60197630929</v>
      </c>
      <c r="B334" s="228">
        <f ca="1">PROBLEMA!$F$84/(E334/IF(Tipo_Seccion_Ale=$J$17,12^0.5,4))</f>
        <v>44.444444444444443</v>
      </c>
      <c r="C334" s="229">
        <f t="shared" ca="1" si="33"/>
        <v>1.17</v>
      </c>
      <c r="D334" s="230">
        <f t="shared" ca="1" si="34"/>
        <v>86997.950407101962</v>
      </c>
      <c r="E334" s="231">
        <f t="shared" si="38"/>
        <v>360</v>
      </c>
      <c r="G334" s="232">
        <f t="shared" ca="1" si="35"/>
        <v>129461.89166178179</v>
      </c>
      <c r="H334" s="158">
        <f ca="1">PROBLEMA!$E$105/G334*K334</f>
        <v>5.408314300158616</v>
      </c>
      <c r="I334" s="158">
        <f t="shared" ca="1" si="36"/>
        <v>406</v>
      </c>
      <c r="J334" s="233">
        <f ca="1">PROBLEMA!$F$102/(I334/IF(Tipo_Seccion_Ale=$J$17,12^0.5,4))</f>
        <v>39.408866995073893</v>
      </c>
      <c r="K334" s="234">
        <f t="shared" ca="1" si="37"/>
        <v>1.1299999999999999</v>
      </c>
    </row>
    <row r="335" spans="1:11" x14ac:dyDescent="0.5">
      <c r="A335" s="228">
        <f t="shared" si="32"/>
        <v>102353.87405211886</v>
      </c>
      <c r="B335" s="228">
        <f ca="1">PROBLEMA!$F$84/(E335/IF(Tipo_Seccion_Ale=$J$17,12^0.5,4))</f>
        <v>44.3213296398892</v>
      </c>
      <c r="C335" s="229">
        <f t="shared" ca="1" si="33"/>
        <v>1.17</v>
      </c>
      <c r="D335" s="230">
        <f t="shared" ca="1" si="34"/>
        <v>87481.943634289622</v>
      </c>
      <c r="E335" s="231">
        <f t="shared" si="38"/>
        <v>361</v>
      </c>
      <c r="G335" s="232">
        <f t="shared" ca="1" si="35"/>
        <v>130100.42036862391</v>
      </c>
      <c r="H335" s="158">
        <f ca="1">PROBLEMA!$E$105/G335*K335</f>
        <v>5.3817704663532266</v>
      </c>
      <c r="I335" s="158">
        <f t="shared" ca="1" si="36"/>
        <v>407</v>
      </c>
      <c r="J335" s="233">
        <f ca="1">PROBLEMA!$F$102/(I335/IF(Tipo_Seccion_Ale=$J$17,12^0.5,4))</f>
        <v>39.31203931203931</v>
      </c>
      <c r="K335" s="234">
        <f t="shared" ca="1" si="37"/>
        <v>1.1299999999999999</v>
      </c>
    </row>
    <row r="336" spans="1:11" x14ac:dyDescent="0.5">
      <c r="A336" s="228">
        <f t="shared" si="32"/>
        <v>102921.71692425522</v>
      </c>
      <c r="B336" s="228">
        <f ca="1">PROBLEMA!$F$84/(E336/IF(Tipo_Seccion_Ale=$J$17,12^0.5,4))</f>
        <v>44.19889502762431</v>
      </c>
      <c r="C336" s="229">
        <f t="shared" ca="1" si="33"/>
        <v>1.17</v>
      </c>
      <c r="D336" s="230">
        <f t="shared" ca="1" si="34"/>
        <v>87967.279422440362</v>
      </c>
      <c r="E336" s="231">
        <f t="shared" si="38"/>
        <v>362</v>
      </c>
      <c r="G336" s="232">
        <f t="shared" ca="1" si="35"/>
        <v>130740.51987179283</v>
      </c>
      <c r="H336" s="158">
        <f ca="1">PROBLEMA!$E$105/G336*K336</f>
        <v>5.3554215685129858</v>
      </c>
      <c r="I336" s="158">
        <f t="shared" ca="1" si="36"/>
        <v>408</v>
      </c>
      <c r="J336" s="233">
        <f ca="1">PROBLEMA!$F$102/(I336/IF(Tipo_Seccion_Ale=$J$17,12^0.5,4))</f>
        <v>39.215686274509807</v>
      </c>
      <c r="K336" s="234">
        <f t="shared" ca="1" si="37"/>
        <v>1.1299999999999999</v>
      </c>
    </row>
    <row r="337" spans="1:11" x14ac:dyDescent="0.5">
      <c r="A337" s="228">
        <f t="shared" si="32"/>
        <v>103491.13059271836</v>
      </c>
      <c r="B337" s="228">
        <f ca="1">PROBLEMA!$F$84/(E337/IF(Tipo_Seccion_Ale=$J$17,12^0.5,4))</f>
        <v>44.077134986225893</v>
      </c>
      <c r="C337" s="229">
        <f t="shared" ca="1" si="33"/>
        <v>1.17</v>
      </c>
      <c r="D337" s="230">
        <f t="shared" ca="1" si="34"/>
        <v>88453.957771554153</v>
      </c>
      <c r="E337" s="231">
        <f t="shared" si="38"/>
        <v>363</v>
      </c>
      <c r="G337" s="232">
        <f t="shared" ca="1" si="35"/>
        <v>131382.19017128856</v>
      </c>
      <c r="H337" s="158">
        <f ca="1">PROBLEMA!$E$105/G337*K337</f>
        <v>5.3292657025062358</v>
      </c>
      <c r="I337" s="158">
        <f t="shared" ca="1" si="36"/>
        <v>409</v>
      </c>
      <c r="J337" s="233">
        <f ca="1">PROBLEMA!$F$102/(I337/IF(Tipo_Seccion_Ale=$J$17,12^0.5,4))</f>
        <v>39.119804400977998</v>
      </c>
      <c r="K337" s="234">
        <f t="shared" ca="1" si="37"/>
        <v>1.1299999999999999</v>
      </c>
    </row>
    <row r="338" spans="1:11" x14ac:dyDescent="0.5">
      <c r="A338" s="228">
        <f t="shared" si="32"/>
        <v>104062.1150575083</v>
      </c>
      <c r="B338" s="228">
        <f ca="1">PROBLEMA!$F$84/(E338/IF(Tipo_Seccion_Ale=$J$17,12^0.5,4))</f>
        <v>43.956043956043956</v>
      </c>
      <c r="C338" s="229">
        <f t="shared" ca="1" si="33"/>
        <v>1.1599999999999999</v>
      </c>
      <c r="D338" s="230">
        <f t="shared" ca="1" si="34"/>
        <v>89708.719877162337</v>
      </c>
      <c r="E338" s="231">
        <f t="shared" si="38"/>
        <v>364</v>
      </c>
      <c r="G338" s="232">
        <f t="shared" ca="1" si="35"/>
        <v>132025.43126711107</v>
      </c>
      <c r="H338" s="158">
        <f ca="1">PROBLEMA!$E$105/G338*K338</f>
        <v>5.303300987394084</v>
      </c>
      <c r="I338" s="158">
        <f t="shared" ca="1" si="36"/>
        <v>410</v>
      </c>
      <c r="J338" s="233">
        <f ca="1">PROBLEMA!$F$102/(I338/IF(Tipo_Seccion_Ale=$J$17,12^0.5,4))</f>
        <v>39.024390243902438</v>
      </c>
      <c r="K338" s="234">
        <f t="shared" ca="1" si="37"/>
        <v>1.1299999999999999</v>
      </c>
    </row>
    <row r="339" spans="1:11" x14ac:dyDescent="0.5">
      <c r="A339" s="228">
        <f t="shared" si="32"/>
        <v>104634.67031862505</v>
      </c>
      <c r="B339" s="228">
        <f ca="1">PROBLEMA!$F$84/(E339/IF(Tipo_Seccion_Ale=$J$17,12^0.5,4))</f>
        <v>43.835616438356162</v>
      </c>
      <c r="C339" s="229">
        <f t="shared" ca="1" si="33"/>
        <v>1.1599999999999999</v>
      </c>
      <c r="D339" s="230">
        <f t="shared" ca="1" si="34"/>
        <v>90202.301998814713</v>
      </c>
      <c r="E339" s="231">
        <f t="shared" si="38"/>
        <v>365</v>
      </c>
      <c r="G339" s="232">
        <f t="shared" ca="1" si="35"/>
        <v>132670.24315926037</v>
      </c>
      <c r="H339" s="158">
        <f ca="1">PROBLEMA!$E$105/G339*K339</f>
        <v>5.2308217990294734</v>
      </c>
      <c r="I339" s="158">
        <f t="shared" ca="1" si="36"/>
        <v>411</v>
      </c>
      <c r="J339" s="233">
        <f ca="1">PROBLEMA!$F$102/(I339/IF(Tipo_Seccion_Ale=$J$17,12^0.5,4))</f>
        <v>38.929440389294406</v>
      </c>
      <c r="K339" s="234">
        <f t="shared" ca="1" si="37"/>
        <v>1.1200000000000001</v>
      </c>
    </row>
    <row r="340" spans="1:11" x14ac:dyDescent="0.5">
      <c r="A340" s="228">
        <f t="shared" si="32"/>
        <v>105208.79637606858</v>
      </c>
      <c r="B340" s="228">
        <f ca="1">PROBLEMA!$F$84/(E340/IF(Tipo_Seccion_Ale=$J$17,12^0.5,4))</f>
        <v>43.715846994535518</v>
      </c>
      <c r="C340" s="229">
        <f t="shared" ca="1" si="33"/>
        <v>1.1599999999999999</v>
      </c>
      <c r="D340" s="230">
        <f t="shared" ca="1" si="34"/>
        <v>90697.238255231539</v>
      </c>
      <c r="E340" s="231">
        <f t="shared" si="38"/>
        <v>366</v>
      </c>
      <c r="G340" s="232">
        <f t="shared" ca="1" si="35"/>
        <v>133316.62584773646</v>
      </c>
      <c r="H340" s="158">
        <f ca="1">PROBLEMA!$E$105/G340*K340</f>
        <v>5.2054602761444171</v>
      </c>
      <c r="I340" s="158">
        <f t="shared" ca="1" si="36"/>
        <v>412</v>
      </c>
      <c r="J340" s="233">
        <f ca="1">PROBLEMA!$F$102/(I340/IF(Tipo_Seccion_Ale=$J$17,12^0.5,4))</f>
        <v>38.834951456310677</v>
      </c>
      <c r="K340" s="234">
        <f t="shared" ca="1" si="37"/>
        <v>1.1200000000000001</v>
      </c>
    </row>
    <row r="341" spans="1:11" x14ac:dyDescent="0.5">
      <c r="A341" s="228">
        <f t="shared" si="32"/>
        <v>105784.49322983892</v>
      </c>
      <c r="B341" s="228">
        <f ca="1">PROBLEMA!$F$84/(E341/IF(Tipo_Seccion_Ale=$J$17,12^0.5,4))</f>
        <v>43.596730245231605</v>
      </c>
      <c r="C341" s="229">
        <f t="shared" ca="1" si="33"/>
        <v>1.1599999999999999</v>
      </c>
      <c r="D341" s="230">
        <f t="shared" ca="1" si="34"/>
        <v>91193.528646412873</v>
      </c>
      <c r="E341" s="231">
        <f t="shared" si="38"/>
        <v>367</v>
      </c>
      <c r="G341" s="232">
        <f t="shared" ca="1" si="35"/>
        <v>133964.57933253935</v>
      </c>
      <c r="H341" s="158">
        <f ca="1">PROBLEMA!$E$105/G341*K341</f>
        <v>5.1802827542745629</v>
      </c>
      <c r="I341" s="158">
        <f t="shared" ca="1" si="36"/>
        <v>413</v>
      </c>
      <c r="J341" s="233">
        <f ca="1">PROBLEMA!$F$102/(I341/IF(Tipo_Seccion_Ale=$J$17,12^0.5,4))</f>
        <v>38.7409200968523</v>
      </c>
      <c r="K341" s="234">
        <f t="shared" ca="1" si="37"/>
        <v>1.1200000000000001</v>
      </c>
    </row>
    <row r="342" spans="1:11" x14ac:dyDescent="0.5">
      <c r="A342" s="228">
        <f t="shared" si="32"/>
        <v>106361.76087993603</v>
      </c>
      <c r="B342" s="228">
        <f ca="1">PROBLEMA!$F$84/(E342/IF(Tipo_Seccion_Ale=$J$17,12^0.5,4))</f>
        <v>43.478260869565219</v>
      </c>
      <c r="C342" s="229">
        <f t="shared" ca="1" si="33"/>
        <v>1.1599999999999999</v>
      </c>
      <c r="D342" s="230">
        <f t="shared" ca="1" si="34"/>
        <v>91691.173172358656</v>
      </c>
      <c r="E342" s="231">
        <f t="shared" si="38"/>
        <v>368</v>
      </c>
      <c r="G342" s="232">
        <f t="shared" ca="1" si="35"/>
        <v>134614.10361366905</v>
      </c>
      <c r="H342" s="158">
        <f ca="1">PROBLEMA!$E$105/G342*K342</f>
        <v>5.1552874577811485</v>
      </c>
      <c r="I342" s="158">
        <f t="shared" ca="1" si="36"/>
        <v>414</v>
      </c>
      <c r="J342" s="233">
        <f ca="1">PROBLEMA!$F$102/(I342/IF(Tipo_Seccion_Ale=$J$17,12^0.5,4))</f>
        <v>38.647342995169083</v>
      </c>
      <c r="K342" s="234">
        <f t="shared" ca="1" si="37"/>
        <v>1.1200000000000001</v>
      </c>
    </row>
    <row r="343" spans="1:11" x14ac:dyDescent="0.5">
      <c r="A343" s="228">
        <f t="shared" si="32"/>
        <v>106940.59932635995</v>
      </c>
      <c r="B343" s="228">
        <f ca="1">PROBLEMA!$F$84/(E343/IF(Tipo_Seccion_Ale=$J$17,12^0.5,4))</f>
        <v>43.360433604336045</v>
      </c>
      <c r="C343" s="229">
        <f t="shared" ca="1" si="33"/>
        <v>1.1599999999999999</v>
      </c>
      <c r="D343" s="230">
        <f t="shared" ca="1" si="34"/>
        <v>92190.171833068933</v>
      </c>
      <c r="E343" s="231">
        <f t="shared" si="38"/>
        <v>369</v>
      </c>
      <c r="G343" s="232">
        <f t="shared" ca="1" si="35"/>
        <v>135265.19869112552</v>
      </c>
      <c r="H343" s="158">
        <f ca="1">PROBLEMA!$E$105/G343*K343</f>
        <v>5.1304726323928458</v>
      </c>
      <c r="I343" s="158">
        <f t="shared" ca="1" si="36"/>
        <v>415</v>
      </c>
      <c r="J343" s="233">
        <f ca="1">PROBLEMA!$F$102/(I343/IF(Tipo_Seccion_Ale=$J$17,12^0.5,4))</f>
        <v>38.554216867469883</v>
      </c>
      <c r="K343" s="234">
        <f t="shared" ca="1" si="37"/>
        <v>1.1200000000000001</v>
      </c>
    </row>
    <row r="344" spans="1:11" x14ac:dyDescent="0.5">
      <c r="A344" s="228">
        <f t="shared" si="32"/>
        <v>107521.00856911067</v>
      </c>
      <c r="B344" s="228">
        <f ca="1">PROBLEMA!$F$84/(E344/IF(Tipo_Seccion_Ale=$J$17,12^0.5,4))</f>
        <v>43.243243243243242</v>
      </c>
      <c r="C344" s="229">
        <f t="shared" ca="1" si="33"/>
        <v>1.1599999999999999</v>
      </c>
      <c r="D344" s="230">
        <f t="shared" ca="1" si="34"/>
        <v>92690.524628543688</v>
      </c>
      <c r="E344" s="231">
        <f t="shared" si="38"/>
        <v>370</v>
      </c>
      <c r="G344" s="232">
        <f t="shared" ca="1" si="35"/>
        <v>135917.86456490881</v>
      </c>
      <c r="H344" s="158">
        <f ca="1">PROBLEMA!$E$105/G344*K344</f>
        <v>5.1058365448979393</v>
      </c>
      <c r="I344" s="158">
        <f t="shared" ca="1" si="36"/>
        <v>416</v>
      </c>
      <c r="J344" s="233">
        <f ca="1">PROBLEMA!$F$102/(I344/IF(Tipo_Seccion_Ale=$J$17,12^0.5,4))</f>
        <v>38.46153846153846</v>
      </c>
      <c r="K344" s="234">
        <f t="shared" ca="1" si="37"/>
        <v>1.1200000000000001</v>
      </c>
    </row>
    <row r="345" spans="1:11" x14ac:dyDescent="0.5">
      <c r="A345" s="228">
        <f t="shared" si="32"/>
        <v>108102.98860818819</v>
      </c>
      <c r="B345" s="228">
        <f ca="1">PROBLEMA!$F$84/(E345/IF(Tipo_Seccion_Ale=$J$17,12^0.5,4))</f>
        <v>43.126684636118597</v>
      </c>
      <c r="C345" s="229">
        <f t="shared" ca="1" si="33"/>
        <v>1.1599999999999999</v>
      </c>
      <c r="D345" s="230">
        <f t="shared" ca="1" si="34"/>
        <v>93192.231558782922</v>
      </c>
      <c r="E345" s="231">
        <f t="shared" si="38"/>
        <v>371</v>
      </c>
      <c r="G345" s="232">
        <f t="shared" ca="1" si="35"/>
        <v>136572.1012350189</v>
      </c>
      <c r="H345" s="158">
        <f ca="1">PROBLEMA!$E$105/G345*K345</f>
        <v>5.0813774828416847</v>
      </c>
      <c r="I345" s="158">
        <f t="shared" ca="1" si="36"/>
        <v>417</v>
      </c>
      <c r="J345" s="233">
        <f ca="1">PROBLEMA!$F$102/(I345/IF(Tipo_Seccion_Ale=$J$17,12^0.5,4))</f>
        <v>38.369304556354919</v>
      </c>
      <c r="K345" s="234">
        <f t="shared" ca="1" si="37"/>
        <v>1.1200000000000001</v>
      </c>
    </row>
    <row r="346" spans="1:11" x14ac:dyDescent="0.5">
      <c r="A346" s="228">
        <f t="shared" si="32"/>
        <v>108686.53944359248</v>
      </c>
      <c r="B346" s="228">
        <f ca="1">PROBLEMA!$F$84/(E346/IF(Tipo_Seccion_Ale=$J$17,12^0.5,4))</f>
        <v>43.01075268817204</v>
      </c>
      <c r="C346" s="229">
        <f t="shared" ca="1" si="33"/>
        <v>1.1599999999999999</v>
      </c>
      <c r="D346" s="230">
        <f t="shared" ca="1" si="34"/>
        <v>93695.292623786634</v>
      </c>
      <c r="E346" s="231">
        <f t="shared" si="38"/>
        <v>372</v>
      </c>
      <c r="G346" s="232">
        <f t="shared" ca="1" si="35"/>
        <v>137227.90870145574</v>
      </c>
      <c r="H346" s="158">
        <f ca="1">PROBLEMA!$E$105/G346*K346</f>
        <v>5.0570937542287142</v>
      </c>
      <c r="I346" s="158">
        <f t="shared" ca="1" si="36"/>
        <v>418</v>
      </c>
      <c r="J346" s="233">
        <f ca="1">PROBLEMA!$F$102/(I346/IF(Tipo_Seccion_Ale=$J$17,12^0.5,4))</f>
        <v>38.277511961722489</v>
      </c>
      <c r="K346" s="234">
        <f t="shared" ca="1" si="37"/>
        <v>1.1200000000000001</v>
      </c>
    </row>
    <row r="347" spans="1:11" x14ac:dyDescent="0.5">
      <c r="A347" s="228">
        <f t="shared" si="32"/>
        <v>109271.66107532359</v>
      </c>
      <c r="B347" s="228">
        <f ca="1">PROBLEMA!$F$84/(E347/IF(Tipo_Seccion_Ale=$J$17,12^0.5,4))</f>
        <v>42.89544235924933</v>
      </c>
      <c r="C347" s="229">
        <f t="shared" ca="1" si="33"/>
        <v>1.1499999999999999</v>
      </c>
      <c r="D347" s="230">
        <f t="shared" ca="1" si="34"/>
        <v>95018.835717672686</v>
      </c>
      <c r="E347" s="231">
        <f t="shared" si="38"/>
        <v>373</v>
      </c>
      <c r="G347" s="232">
        <f t="shared" ca="1" si="35"/>
        <v>137885.28696421941</v>
      </c>
      <c r="H347" s="158">
        <f ca="1">PROBLEMA!$E$105/G347*K347</f>
        <v>5.0329836872304092</v>
      </c>
      <c r="I347" s="158">
        <f t="shared" ca="1" si="36"/>
        <v>419</v>
      </c>
      <c r="J347" s="233">
        <f ca="1">PROBLEMA!$F$102/(I347/IF(Tipo_Seccion_Ale=$J$17,12^0.5,4))</f>
        <v>38.186157517899758</v>
      </c>
      <c r="K347" s="234">
        <f t="shared" ca="1" si="37"/>
        <v>1.1200000000000001</v>
      </c>
    </row>
    <row r="348" spans="1:11" x14ac:dyDescent="0.5">
      <c r="A348" s="228">
        <f t="shared" si="32"/>
        <v>109858.35350338147</v>
      </c>
      <c r="B348" s="228">
        <f ca="1">PROBLEMA!$F$84/(E348/IF(Tipo_Seccion_Ale=$J$17,12^0.5,4))</f>
        <v>42.780748663101605</v>
      </c>
      <c r="C348" s="229">
        <f t="shared" ca="1" si="33"/>
        <v>1.1499999999999999</v>
      </c>
      <c r="D348" s="230">
        <f t="shared" ca="1" si="34"/>
        <v>95529.003046418671</v>
      </c>
      <c r="E348" s="231">
        <f t="shared" si="38"/>
        <v>374</v>
      </c>
      <c r="G348" s="232">
        <f t="shared" ca="1" si="35"/>
        <v>138544.23602330987</v>
      </c>
      <c r="H348" s="158">
        <f ca="1">PROBLEMA!$E$105/G348*K348</f>
        <v>5.0090456298971535</v>
      </c>
      <c r="I348" s="158">
        <f t="shared" ca="1" si="36"/>
        <v>420</v>
      </c>
      <c r="J348" s="233">
        <f ca="1">PROBLEMA!$F$102/(I348/IF(Tipo_Seccion_Ale=$J$17,12^0.5,4))</f>
        <v>38.095238095238095</v>
      </c>
      <c r="K348" s="234">
        <f t="shared" ca="1" si="37"/>
        <v>1.1200000000000001</v>
      </c>
    </row>
    <row r="349" spans="1:11" x14ac:dyDescent="0.5">
      <c r="A349" s="228">
        <f t="shared" si="32"/>
        <v>110446.61672776616</v>
      </c>
      <c r="B349" s="228">
        <f ca="1">PROBLEMA!$F$84/(E349/IF(Tipo_Seccion_Ale=$J$17,12^0.5,4))</f>
        <v>42.666666666666664</v>
      </c>
      <c r="C349" s="229">
        <f t="shared" ca="1" si="33"/>
        <v>1.1499999999999999</v>
      </c>
      <c r="D349" s="230">
        <f t="shared" ca="1" si="34"/>
        <v>96040.536285014052</v>
      </c>
      <c r="E349" s="231">
        <f t="shared" si="38"/>
        <v>375</v>
      </c>
      <c r="G349" s="232">
        <f t="shared" ca="1" si="35"/>
        <v>139204.75587872713</v>
      </c>
      <c r="H349" s="158">
        <f ca="1">PROBLEMA!$E$105/G349*K349</f>
        <v>4.9852779498753552</v>
      </c>
      <c r="I349" s="158">
        <f t="shared" ca="1" si="36"/>
        <v>421</v>
      </c>
      <c r="J349" s="233">
        <f ca="1">PROBLEMA!$F$102/(I349/IF(Tipo_Seccion_Ale=$J$17,12^0.5,4))</f>
        <v>38.004750593824227</v>
      </c>
      <c r="K349" s="234">
        <f t="shared" ca="1" si="37"/>
        <v>1.1200000000000001</v>
      </c>
    </row>
    <row r="350" spans="1:11" x14ac:dyDescent="0.5">
      <c r="A350" s="228">
        <f t="shared" si="32"/>
        <v>111036.45074847765</v>
      </c>
      <c r="B350" s="228">
        <f ca="1">PROBLEMA!$F$84/(E350/IF(Tipo_Seccion_Ale=$J$17,12^0.5,4))</f>
        <v>42.553191489361701</v>
      </c>
      <c r="C350" s="229">
        <f t="shared" ca="1" si="33"/>
        <v>1.1499999999999999</v>
      </c>
      <c r="D350" s="230">
        <f t="shared" ca="1" si="34"/>
        <v>96553.435433458842</v>
      </c>
      <c r="E350" s="231">
        <f t="shared" si="38"/>
        <v>376</v>
      </c>
      <c r="G350" s="232">
        <f t="shared" ca="1" si="35"/>
        <v>139866.84653047117</v>
      </c>
      <c r="H350" s="158">
        <f ca="1">PROBLEMA!$E$105/G350*K350</f>
        <v>4.9616790341291628</v>
      </c>
      <c r="I350" s="158">
        <f t="shared" ca="1" si="36"/>
        <v>422</v>
      </c>
      <c r="J350" s="233">
        <f ca="1">PROBLEMA!$F$102/(I350/IF(Tipo_Seccion_Ale=$J$17,12^0.5,4))</f>
        <v>37.914691943127963</v>
      </c>
      <c r="K350" s="234">
        <f t="shared" ca="1" si="37"/>
        <v>1.1200000000000001</v>
      </c>
    </row>
    <row r="351" spans="1:11" x14ac:dyDescent="0.5">
      <c r="A351" s="228">
        <f t="shared" si="32"/>
        <v>111627.85556551593</v>
      </c>
      <c r="B351" s="228">
        <f ca="1">PROBLEMA!$F$84/(E351/IF(Tipo_Seccion_Ale=$J$17,12^0.5,4))</f>
        <v>42.440318302387269</v>
      </c>
      <c r="C351" s="229">
        <f t="shared" ca="1" si="33"/>
        <v>1.1499999999999999</v>
      </c>
      <c r="D351" s="230">
        <f t="shared" ca="1" si="34"/>
        <v>97067.700491752985</v>
      </c>
      <c r="E351" s="231">
        <f t="shared" si="38"/>
        <v>377</v>
      </c>
      <c r="G351" s="232">
        <f t="shared" ca="1" si="35"/>
        <v>140530.50797854201</v>
      </c>
      <c r="H351" s="158">
        <f ca="1">PROBLEMA!$E$105/G351*K351</f>
        <v>4.9382472886667772</v>
      </c>
      <c r="I351" s="158">
        <f t="shared" ca="1" si="36"/>
        <v>423</v>
      </c>
      <c r="J351" s="233">
        <f ca="1">PROBLEMA!$F$102/(I351/IF(Tipo_Seccion_Ale=$J$17,12^0.5,4))</f>
        <v>37.825059101654844</v>
      </c>
      <c r="K351" s="234">
        <f t="shared" ca="1" si="37"/>
        <v>1.1200000000000001</v>
      </c>
    </row>
    <row r="352" spans="1:11" x14ac:dyDescent="0.5">
      <c r="A352" s="228">
        <f t="shared" si="32"/>
        <v>112220.831178881</v>
      </c>
      <c r="B352" s="228">
        <f ca="1">PROBLEMA!$F$84/(E352/IF(Tipo_Seccion_Ale=$J$17,12^0.5,4))</f>
        <v>42.328042328042329</v>
      </c>
      <c r="C352" s="229">
        <f t="shared" ca="1" si="33"/>
        <v>1.1499999999999999</v>
      </c>
      <c r="D352" s="230">
        <f t="shared" ca="1" si="34"/>
        <v>97583.331459896523</v>
      </c>
      <c r="E352" s="231">
        <f t="shared" si="38"/>
        <v>378</v>
      </c>
      <c r="G352" s="232">
        <f t="shared" ca="1" si="35"/>
        <v>141195.74022293967</v>
      </c>
      <c r="H352" s="158">
        <f ca="1">PROBLEMA!$E$105/G352*K352</f>
        <v>4.9149811382712807</v>
      </c>
      <c r="I352" s="158">
        <f t="shared" ca="1" si="36"/>
        <v>424</v>
      </c>
      <c r="J352" s="233">
        <f ca="1">PROBLEMA!$F$102/(I352/IF(Tipo_Seccion_Ale=$J$17,12^0.5,4))</f>
        <v>37.735849056603776</v>
      </c>
      <c r="K352" s="234">
        <f t="shared" ca="1" si="37"/>
        <v>1.1200000000000001</v>
      </c>
    </row>
    <row r="353" spans="1:11" x14ac:dyDescent="0.5">
      <c r="A353" s="228">
        <f t="shared" si="32"/>
        <v>112815.37758857287</v>
      </c>
      <c r="B353" s="228">
        <f ca="1">PROBLEMA!$F$84/(E353/IF(Tipo_Seccion_Ale=$J$17,12^0.5,4))</f>
        <v>42.21635883905013</v>
      </c>
      <c r="C353" s="229">
        <f t="shared" ca="1" si="33"/>
        <v>1.1499999999999999</v>
      </c>
      <c r="D353" s="230">
        <f t="shared" ca="1" si="34"/>
        <v>98100.328337889456</v>
      </c>
      <c r="E353" s="231">
        <f t="shared" si="38"/>
        <v>379</v>
      </c>
      <c r="G353" s="232">
        <f t="shared" ca="1" si="35"/>
        <v>141862.54326366409</v>
      </c>
      <c r="H353" s="158">
        <f ca="1">PROBLEMA!$E$105/G353*K353</f>
        <v>4.8918790262358911</v>
      </c>
      <c r="I353" s="158">
        <f t="shared" ca="1" si="36"/>
        <v>425</v>
      </c>
      <c r="J353" s="233">
        <f ca="1">PROBLEMA!$F$102/(I353/IF(Tipo_Seccion_Ale=$J$17,12^0.5,4))</f>
        <v>37.647058823529413</v>
      </c>
      <c r="K353" s="234">
        <f t="shared" ca="1" si="37"/>
        <v>1.1200000000000001</v>
      </c>
    </row>
    <row r="354" spans="1:11" x14ac:dyDescent="0.5">
      <c r="A354" s="228">
        <f t="shared" si="32"/>
        <v>113411.49479459153</v>
      </c>
      <c r="B354" s="228">
        <f ca="1">PROBLEMA!$F$84/(E354/IF(Tipo_Seccion_Ale=$J$17,12^0.5,4))</f>
        <v>42.10526315789474</v>
      </c>
      <c r="C354" s="229">
        <f t="shared" ca="1" si="33"/>
        <v>1.1499999999999999</v>
      </c>
      <c r="D354" s="230">
        <f t="shared" ca="1" si="34"/>
        <v>98618.69112573177</v>
      </c>
      <c r="E354" s="231">
        <f t="shared" si="38"/>
        <v>380</v>
      </c>
      <c r="G354" s="232">
        <f t="shared" ca="1" si="35"/>
        <v>142530.91710071533</v>
      </c>
      <c r="H354" s="158">
        <f ca="1">PROBLEMA!$E$105/G354*K354</f>
        <v>4.8689394141035596</v>
      </c>
      <c r="I354" s="158">
        <f t="shared" ca="1" si="36"/>
        <v>426</v>
      </c>
      <c r="J354" s="233">
        <f ca="1">PROBLEMA!$F$102/(I354/IF(Tipo_Seccion_Ale=$J$17,12^0.5,4))</f>
        <v>37.558685446009392</v>
      </c>
      <c r="K354" s="234">
        <f t="shared" ca="1" si="37"/>
        <v>1.1200000000000001</v>
      </c>
    </row>
    <row r="355" spans="1:11" x14ac:dyDescent="0.5">
      <c r="A355" s="228">
        <f t="shared" si="32"/>
        <v>114009.18279693699</v>
      </c>
      <c r="B355" s="228">
        <f ca="1">PROBLEMA!$F$84/(E355/IF(Tipo_Seccion_Ale=$J$17,12^0.5,4))</f>
        <v>41.99475065616798</v>
      </c>
      <c r="C355" s="229">
        <f t="shared" ca="1" si="33"/>
        <v>1.1499999999999999</v>
      </c>
      <c r="D355" s="230">
        <f t="shared" ca="1" si="34"/>
        <v>99138.419823423479</v>
      </c>
      <c r="E355" s="231">
        <f t="shared" si="38"/>
        <v>381</v>
      </c>
      <c r="G355" s="232">
        <f t="shared" ca="1" si="35"/>
        <v>143200.86173409334</v>
      </c>
      <c r="H355" s="158">
        <f ca="1">PROBLEMA!$E$105/G355*K355</f>
        <v>4.8461607814108438</v>
      </c>
      <c r="I355" s="158">
        <f t="shared" ca="1" si="36"/>
        <v>427</v>
      </c>
      <c r="J355" s="233">
        <f ca="1">PROBLEMA!$F$102/(I355/IF(Tipo_Seccion_Ale=$J$17,12^0.5,4))</f>
        <v>37.470725995316158</v>
      </c>
      <c r="K355" s="234">
        <f t="shared" ca="1" si="37"/>
        <v>1.1200000000000001</v>
      </c>
    </row>
    <row r="356" spans="1:11" x14ac:dyDescent="0.5">
      <c r="A356" s="228">
        <f t="shared" si="32"/>
        <v>114608.44159560924</v>
      </c>
      <c r="B356" s="228">
        <f ca="1">PROBLEMA!$F$84/(E356/IF(Tipo_Seccion_Ale=$J$17,12^0.5,4))</f>
        <v>41.8848167539267</v>
      </c>
      <c r="C356" s="229">
        <f t="shared" ca="1" si="33"/>
        <v>1.1499999999999999</v>
      </c>
      <c r="D356" s="230">
        <f t="shared" ca="1" si="34"/>
        <v>99659.514430964569</v>
      </c>
      <c r="E356" s="231">
        <f t="shared" si="38"/>
        <v>382</v>
      </c>
      <c r="G356" s="232">
        <f t="shared" ca="1" si="35"/>
        <v>143872.37716379817</v>
      </c>
      <c r="H356" s="158">
        <f ca="1">PROBLEMA!$E$105/G356*K356</f>
        <v>4.8235416254359427</v>
      </c>
      <c r="I356" s="158">
        <f t="shared" ca="1" si="36"/>
        <v>428</v>
      </c>
      <c r="J356" s="233">
        <f ca="1">PROBLEMA!$F$102/(I356/IF(Tipo_Seccion_Ale=$J$17,12^0.5,4))</f>
        <v>37.383177570093459</v>
      </c>
      <c r="K356" s="234">
        <f t="shared" ca="1" si="37"/>
        <v>1.1200000000000001</v>
      </c>
    </row>
    <row r="357" spans="1:11" x14ac:dyDescent="0.5">
      <c r="A357" s="228">
        <f t="shared" si="32"/>
        <v>115209.27119060828</v>
      </c>
      <c r="B357" s="228">
        <f ca="1">PROBLEMA!$F$84/(E357/IF(Tipo_Seccion_Ale=$J$17,12^0.5,4))</f>
        <v>41.775456919060055</v>
      </c>
      <c r="C357" s="229">
        <f t="shared" ca="1" si="33"/>
        <v>1.1499999999999999</v>
      </c>
      <c r="D357" s="230">
        <f t="shared" ca="1" si="34"/>
        <v>100181.97494835504</v>
      </c>
      <c r="E357" s="231">
        <f t="shared" si="38"/>
        <v>383</v>
      </c>
      <c r="G357" s="232">
        <f t="shared" ca="1" si="35"/>
        <v>144545.46338982979</v>
      </c>
      <c r="H357" s="158">
        <f ca="1">PROBLEMA!$E$105/G357*K357</f>
        <v>4.8010804609508622</v>
      </c>
      <c r="I357" s="158">
        <f t="shared" ca="1" si="36"/>
        <v>429</v>
      </c>
      <c r="J357" s="233">
        <f ca="1">PROBLEMA!$F$102/(I357/IF(Tipo_Seccion_Ale=$J$17,12^0.5,4))</f>
        <v>37.296037296037298</v>
      </c>
      <c r="K357" s="234">
        <f t="shared" ca="1" si="37"/>
        <v>1.1200000000000001</v>
      </c>
    </row>
    <row r="358" spans="1:11" x14ac:dyDescent="0.5">
      <c r="A358" s="228">
        <f t="shared" si="32"/>
        <v>115811.67158193413</v>
      </c>
      <c r="B358" s="228">
        <f ca="1">PROBLEMA!$F$84/(E358/IF(Tipo_Seccion_Ale=$J$17,12^0.5,4))</f>
        <v>41.666666666666664</v>
      </c>
      <c r="C358" s="229">
        <f t="shared" ref="C358:C359" ca="1" si="39">IFERROR(VLOOKUP(ROUNDUP(B358,0),Coef_w,Tipo_Ale+1),1)</f>
        <v>1.1499999999999999</v>
      </c>
      <c r="D358" s="230">
        <f t="shared" ref="D358:D359" ca="1" si="40">A358/C358</f>
        <v>100705.80137559491</v>
      </c>
      <c r="E358" s="231">
        <f t="shared" si="38"/>
        <v>384</v>
      </c>
      <c r="G358" s="232">
        <f t="shared" ref="G358:G384" ca="1" si="41">I358^2*IF(Tipo_Seccion_Ale=$J$17,1,PI()/4)</f>
        <v>145220.12041218817</v>
      </c>
      <c r="H358" s="158">
        <f ca="1">PROBLEMA!$E$105/G358*K358</f>
        <v>4.7787758199775983</v>
      </c>
      <c r="I358" s="158">
        <f t="shared" ref="I358:I384" ca="1" si="42">$I$36+ROW()-36</f>
        <v>430</v>
      </c>
      <c r="J358" s="233">
        <f ca="1">PROBLEMA!$F$102/(I358/IF(Tipo_Seccion_Ale=$J$17,12^0.5,4))</f>
        <v>37.209302325581397</v>
      </c>
      <c r="K358" s="234">
        <f t="shared" ref="K358:K384" ca="1" si="43">IFERROR(VLOOKUP(ROUNDUP(J358,0),Coef_w,Tipo_Ale+1),1)</f>
        <v>1.1200000000000001</v>
      </c>
    </row>
    <row r="359" spans="1:11" x14ac:dyDescent="0.5">
      <c r="A359" s="228">
        <f t="shared" si="32"/>
        <v>116415.64276958678</v>
      </c>
      <c r="B359" s="228">
        <f ca="1">PROBLEMA!$F$84/(E359/IF(Tipo_Seccion_Ale=$J$17,12^0.5,4))</f>
        <v>41.558441558441558</v>
      </c>
      <c r="C359" s="229">
        <f t="shared" ca="1" si="39"/>
        <v>1.1499999999999999</v>
      </c>
      <c r="D359" s="230">
        <f t="shared" ca="1" si="40"/>
        <v>101230.99371268415</v>
      </c>
      <c r="E359" s="231">
        <f t="shared" si="38"/>
        <v>385</v>
      </c>
      <c r="G359" s="232">
        <f t="shared" ca="1" si="41"/>
        <v>145896.34823087338</v>
      </c>
      <c r="H359" s="158">
        <f ca="1">PROBLEMA!$E$105/G359*K359</f>
        <v>4.7566262515482682</v>
      </c>
      <c r="I359" s="158">
        <f t="shared" ca="1" si="42"/>
        <v>431</v>
      </c>
      <c r="J359" s="233">
        <f ca="1">PROBLEMA!$F$102/(I359/IF(Tipo_Seccion_Ale=$J$17,12^0.5,4))</f>
        <v>37.122969837587007</v>
      </c>
      <c r="K359" s="234">
        <f t="shared" ca="1" si="43"/>
        <v>1.1200000000000001</v>
      </c>
    </row>
    <row r="360" spans="1:11" x14ac:dyDescent="0.5">
      <c r="A360" s="228">
        <f t="shared" ref="A360:A384" si="44">E360^2*IF(Tipo_Seccion_Ale=$J$17,1,PI()/4)</f>
        <v>117021.18475356621</v>
      </c>
      <c r="B360" s="228">
        <f ca="1">PROBLEMA!$F$84/(E360/IF(Tipo_Seccion_Ale=$J$17,12^0.5,4))</f>
        <v>41.450777202072537</v>
      </c>
      <c r="C360" s="229">
        <f t="shared" ref="C360:C384" ca="1" si="45">IFERROR(VLOOKUP(ROUNDUP(B360,0),Coef_w,Tipo_Ale+1),1)</f>
        <v>1.1499999999999999</v>
      </c>
      <c r="D360" s="230">
        <f t="shared" ref="D360:D384" ca="1" si="46">A360/C360</f>
        <v>101757.5519596228</v>
      </c>
      <c r="E360" s="231">
        <f t="shared" si="38"/>
        <v>386</v>
      </c>
      <c r="G360" s="232">
        <f t="shared" ca="1" si="41"/>
        <v>146574.14684588538</v>
      </c>
      <c r="H360" s="158">
        <f ca="1">PROBLEMA!$E$105/G360*K360</f>
        <v>4.7346303214691456</v>
      </c>
      <c r="I360" s="158">
        <f t="shared" ca="1" si="42"/>
        <v>432</v>
      </c>
      <c r="J360" s="233">
        <f ca="1">PROBLEMA!$F$102/(I360/IF(Tipo_Seccion_Ale=$J$17,12^0.5,4))</f>
        <v>37.037037037037038</v>
      </c>
      <c r="K360" s="234">
        <f t="shared" ca="1" si="43"/>
        <v>1.1200000000000001</v>
      </c>
    </row>
    <row r="361" spans="1:11" x14ac:dyDescent="0.5">
      <c r="A361" s="228">
        <f t="shared" si="44"/>
        <v>117628.29753387244</v>
      </c>
      <c r="B361" s="228">
        <f ca="1">PROBLEMA!$F$84/(E361/IF(Tipo_Seccion_Ale=$J$17,12^0.5,4))</f>
        <v>41.343669250645995</v>
      </c>
      <c r="C361" s="229">
        <f t="shared" ca="1" si="45"/>
        <v>1.1499999999999999</v>
      </c>
      <c r="D361" s="230">
        <f t="shared" ca="1" si="46"/>
        <v>102285.47611641082</v>
      </c>
      <c r="E361" s="231">
        <f t="shared" ref="E361:E384" si="47">E360+1</f>
        <v>387</v>
      </c>
      <c r="G361" s="232">
        <f t="shared" ca="1" si="41"/>
        <v>147253.51625722417</v>
      </c>
      <c r="H361" s="158">
        <f ca="1">PROBLEMA!$E$105/G361*K361</f>
        <v>4.6707081601948373</v>
      </c>
      <c r="I361" s="158">
        <f t="shared" ca="1" si="42"/>
        <v>433</v>
      </c>
      <c r="J361" s="233">
        <f ca="1">PROBLEMA!$F$102/(I361/IF(Tipo_Seccion_Ale=$J$17,12^0.5,4))</f>
        <v>36.951501154734409</v>
      </c>
      <c r="K361" s="234">
        <f t="shared" ca="1" si="43"/>
        <v>1.1100000000000001</v>
      </c>
    </row>
    <row r="362" spans="1:11" x14ac:dyDescent="0.5">
      <c r="A362" s="228">
        <f t="shared" si="44"/>
        <v>118236.98111050545</v>
      </c>
      <c r="B362" s="228">
        <f ca="1">PROBLEMA!$F$84/(E362/IF(Tipo_Seccion_Ale=$J$17,12^0.5,4))</f>
        <v>41.237113402061858</v>
      </c>
      <c r="C362" s="229">
        <f t="shared" ca="1" si="45"/>
        <v>1.1499999999999999</v>
      </c>
      <c r="D362" s="230">
        <f t="shared" ca="1" si="46"/>
        <v>102814.76618304822</v>
      </c>
      <c r="E362" s="231">
        <f t="shared" si="47"/>
        <v>388</v>
      </c>
      <c r="G362" s="232">
        <f t="shared" ca="1" si="41"/>
        <v>147934.45646488978</v>
      </c>
      <c r="H362" s="158">
        <f ca="1">PROBLEMA!$E$105/G362*K362</f>
        <v>4.649208956692485</v>
      </c>
      <c r="I362" s="158">
        <f t="shared" ca="1" si="42"/>
        <v>434</v>
      </c>
      <c r="J362" s="233">
        <f ca="1">PROBLEMA!$F$102/(I362/IF(Tipo_Seccion_Ale=$J$17,12^0.5,4))</f>
        <v>36.866359447004605</v>
      </c>
      <c r="K362" s="234">
        <f t="shared" ca="1" si="43"/>
        <v>1.1100000000000001</v>
      </c>
    </row>
    <row r="363" spans="1:11" x14ac:dyDescent="0.5">
      <c r="A363" s="228">
        <f t="shared" si="44"/>
        <v>118847.23548346527</v>
      </c>
      <c r="B363" s="228">
        <f ca="1">PROBLEMA!$F$84/(E363/IF(Tipo_Seccion_Ale=$J$17,12^0.5,4))</f>
        <v>41.131105398457585</v>
      </c>
      <c r="C363" s="229">
        <f t="shared" ca="1" si="45"/>
        <v>1.1499999999999999</v>
      </c>
      <c r="D363" s="230">
        <f t="shared" ca="1" si="46"/>
        <v>103345.42215953502</v>
      </c>
      <c r="E363" s="231">
        <f t="shared" si="47"/>
        <v>389</v>
      </c>
      <c r="G363" s="232">
        <f t="shared" ca="1" si="41"/>
        <v>148616.96746888215</v>
      </c>
      <c r="H363" s="158">
        <f ca="1">PROBLEMA!$E$105/G363*K363</f>
        <v>4.6278578530678809</v>
      </c>
      <c r="I363" s="158">
        <f t="shared" ca="1" si="42"/>
        <v>435</v>
      </c>
      <c r="J363" s="233">
        <f ca="1">PROBLEMA!$F$102/(I363/IF(Tipo_Seccion_Ale=$J$17,12^0.5,4))</f>
        <v>36.781609195402297</v>
      </c>
      <c r="K363" s="234">
        <f t="shared" ca="1" si="43"/>
        <v>1.1100000000000001</v>
      </c>
    </row>
    <row r="364" spans="1:11" x14ac:dyDescent="0.5">
      <c r="A364" s="228">
        <f t="shared" si="44"/>
        <v>119459.06065275188</v>
      </c>
      <c r="B364" s="228">
        <f ca="1">PROBLEMA!$F$84/(E364/IF(Tipo_Seccion_Ale=$J$17,12^0.5,4))</f>
        <v>41.025641025641029</v>
      </c>
      <c r="C364" s="229">
        <f t="shared" ca="1" si="45"/>
        <v>1.1499999999999999</v>
      </c>
      <c r="D364" s="230">
        <f t="shared" ca="1" si="46"/>
        <v>103877.44404587121</v>
      </c>
      <c r="E364" s="231">
        <f t="shared" si="47"/>
        <v>390</v>
      </c>
      <c r="G364" s="232">
        <f t="shared" ca="1" si="41"/>
        <v>149301.04926920132</v>
      </c>
      <c r="H364" s="158">
        <f ca="1">PROBLEMA!$E$105/G364*K364</f>
        <v>4.606653492165905</v>
      </c>
      <c r="I364" s="158">
        <f t="shared" ca="1" si="42"/>
        <v>436</v>
      </c>
      <c r="J364" s="233">
        <f ca="1">PROBLEMA!$F$102/(I364/IF(Tipo_Seccion_Ale=$J$17,12^0.5,4))</f>
        <v>36.697247706422019</v>
      </c>
      <c r="K364" s="234">
        <f t="shared" ca="1" si="43"/>
        <v>1.1100000000000001</v>
      </c>
    </row>
    <row r="365" spans="1:11" x14ac:dyDescent="0.5">
      <c r="A365" s="228">
        <f t="shared" si="44"/>
        <v>120072.45661836529</v>
      </c>
      <c r="B365" s="228">
        <f ca="1">PROBLEMA!$F$84/(E365/IF(Tipo_Seccion_Ale=$J$17,12^0.5,4))</f>
        <v>40.92071611253197</v>
      </c>
      <c r="C365" s="229">
        <f t="shared" ca="1" si="45"/>
        <v>1.1399999999999999</v>
      </c>
      <c r="D365" s="230">
        <f t="shared" ca="1" si="46"/>
        <v>105326.71633189938</v>
      </c>
      <c r="E365" s="231">
        <f t="shared" si="47"/>
        <v>391</v>
      </c>
      <c r="G365" s="232">
        <f t="shared" ca="1" si="41"/>
        <v>149986.70186584731</v>
      </c>
      <c r="H365" s="158">
        <f ca="1">PROBLEMA!$E$105/G365*K365</f>
        <v>4.58559453234174</v>
      </c>
      <c r="I365" s="158">
        <f t="shared" ca="1" si="42"/>
        <v>437</v>
      </c>
      <c r="J365" s="233">
        <f ca="1">PROBLEMA!$F$102/(I365/IF(Tipo_Seccion_Ale=$J$17,12^0.5,4))</f>
        <v>36.613272311212818</v>
      </c>
      <c r="K365" s="234">
        <f t="shared" ca="1" si="43"/>
        <v>1.1100000000000001</v>
      </c>
    </row>
    <row r="366" spans="1:11" x14ac:dyDescent="0.5">
      <c r="A366" s="228">
        <f t="shared" si="44"/>
        <v>120687.4233803055</v>
      </c>
      <c r="B366" s="228">
        <f ca="1">PROBLEMA!$F$84/(E366/IF(Tipo_Seccion_Ale=$J$17,12^0.5,4))</f>
        <v>40.816326530612244</v>
      </c>
      <c r="C366" s="229">
        <f t="shared" ca="1" si="45"/>
        <v>1.1399999999999999</v>
      </c>
      <c r="D366" s="230">
        <f t="shared" ca="1" si="46"/>
        <v>105866.16085991712</v>
      </c>
      <c r="E366" s="231">
        <f t="shared" si="47"/>
        <v>392</v>
      </c>
      <c r="G366" s="232">
        <f t="shared" ca="1" si="41"/>
        <v>150673.92525882006</v>
      </c>
      <c r="H366" s="158">
        <f ca="1">PROBLEMA!$E$105/G366*K366</f>
        <v>4.5646796472486493</v>
      </c>
      <c r="I366" s="158">
        <f t="shared" ca="1" si="42"/>
        <v>438</v>
      </c>
      <c r="J366" s="233">
        <f ca="1">PROBLEMA!$F$102/(I366/IF(Tipo_Seccion_Ale=$J$17,12^0.5,4))</f>
        <v>36.529680365296805</v>
      </c>
      <c r="K366" s="234">
        <f t="shared" ca="1" si="43"/>
        <v>1.1100000000000001</v>
      </c>
    </row>
    <row r="367" spans="1:11" x14ac:dyDescent="0.5">
      <c r="A367" s="228">
        <f t="shared" si="44"/>
        <v>121303.96093857249</v>
      </c>
      <c r="B367" s="228">
        <f ca="1">PROBLEMA!$F$84/(E367/IF(Tipo_Seccion_Ale=$J$17,12^0.5,4))</f>
        <v>40.712468193384225</v>
      </c>
      <c r="C367" s="229">
        <f t="shared" ca="1" si="45"/>
        <v>1.1399999999999999</v>
      </c>
      <c r="D367" s="230">
        <f t="shared" ca="1" si="46"/>
        <v>106406.98327944956</v>
      </c>
      <c r="E367" s="231">
        <f t="shared" si="47"/>
        <v>393</v>
      </c>
      <c r="G367" s="232">
        <f t="shared" ca="1" si="41"/>
        <v>151362.71944811963</v>
      </c>
      <c r="H367" s="158">
        <f ca="1">PROBLEMA!$E$105/G367*K367</f>
        <v>4.5439075256291206</v>
      </c>
      <c r="I367" s="158">
        <f t="shared" ca="1" si="42"/>
        <v>439</v>
      </c>
      <c r="J367" s="233">
        <f ca="1">PROBLEMA!$F$102/(I367/IF(Tipo_Seccion_Ale=$J$17,12^0.5,4))</f>
        <v>36.446469248291571</v>
      </c>
      <c r="K367" s="234">
        <f t="shared" ca="1" si="43"/>
        <v>1.1100000000000001</v>
      </c>
    </row>
    <row r="368" spans="1:11" x14ac:dyDescent="0.5">
      <c r="A368" s="228">
        <f t="shared" si="44"/>
        <v>121922.06929316628</v>
      </c>
      <c r="B368" s="228">
        <f ca="1">PROBLEMA!$F$84/(E368/IF(Tipo_Seccion_Ale=$J$17,12^0.5,4))</f>
        <v>40.609137055837564</v>
      </c>
      <c r="C368" s="229">
        <f t="shared" ca="1" si="45"/>
        <v>1.1399999999999999</v>
      </c>
      <c r="D368" s="230">
        <f t="shared" ca="1" si="46"/>
        <v>106949.18359049674</v>
      </c>
      <c r="E368" s="231">
        <f t="shared" si="47"/>
        <v>394</v>
      </c>
      <c r="G368" s="232">
        <f t="shared" ca="1" si="41"/>
        <v>152053.084433746</v>
      </c>
      <c r="H368" s="158">
        <f ca="1">PROBLEMA!$E$105/G368*K368</f>
        <v>4.5232768711093474</v>
      </c>
      <c r="I368" s="158">
        <f t="shared" ca="1" si="42"/>
        <v>440</v>
      </c>
      <c r="J368" s="233">
        <f ca="1">PROBLEMA!$F$102/(I368/IF(Tipo_Seccion_Ale=$J$17,12^0.5,4))</f>
        <v>36.363636363636367</v>
      </c>
      <c r="K368" s="234">
        <f t="shared" ca="1" si="43"/>
        <v>1.1100000000000001</v>
      </c>
    </row>
    <row r="369" spans="1:11" x14ac:dyDescent="0.5">
      <c r="A369" s="228">
        <f t="shared" si="44"/>
        <v>122541.74844408687</v>
      </c>
      <c r="B369" s="228">
        <f ca="1">PROBLEMA!$F$84/(E369/IF(Tipo_Seccion_Ale=$J$17,12^0.5,4))</f>
        <v>40.506329113924053</v>
      </c>
      <c r="C369" s="229">
        <f t="shared" ca="1" si="45"/>
        <v>1.1399999999999999</v>
      </c>
      <c r="D369" s="230">
        <f t="shared" ca="1" si="46"/>
        <v>107492.76179305867</v>
      </c>
      <c r="E369" s="231">
        <f t="shared" si="47"/>
        <v>395</v>
      </c>
      <c r="G369" s="232">
        <f t="shared" ca="1" si="41"/>
        <v>152745.02021569913</v>
      </c>
      <c r="H369" s="158">
        <f ca="1">PROBLEMA!$E$105/G369*K369</f>
        <v>4.5027864019969552</v>
      </c>
      <c r="I369" s="158">
        <f t="shared" ca="1" si="42"/>
        <v>441</v>
      </c>
      <c r="J369" s="233">
        <f ca="1">PROBLEMA!$F$102/(I369/IF(Tipo_Seccion_Ale=$J$17,12^0.5,4))</f>
        <v>36.281179138321995</v>
      </c>
      <c r="K369" s="234">
        <f t="shared" ca="1" si="43"/>
        <v>1.1100000000000001</v>
      </c>
    </row>
    <row r="370" spans="1:11" x14ac:dyDescent="0.5">
      <c r="A370" s="228">
        <f t="shared" si="44"/>
        <v>123162.99839133424</v>
      </c>
      <c r="B370" s="228">
        <f ca="1">PROBLEMA!$F$84/(E370/IF(Tipo_Seccion_Ale=$J$17,12^0.5,4))</f>
        <v>40.404040404040401</v>
      </c>
      <c r="C370" s="229">
        <f t="shared" ca="1" si="45"/>
        <v>1.1399999999999999</v>
      </c>
      <c r="D370" s="230">
        <f t="shared" ca="1" si="46"/>
        <v>108037.71788713531</v>
      </c>
      <c r="E370" s="231">
        <f t="shared" si="47"/>
        <v>396</v>
      </c>
      <c r="G370" s="232">
        <f t="shared" ca="1" si="41"/>
        <v>153438.52679397908</v>
      </c>
      <c r="H370" s="158">
        <f ca="1">PROBLEMA!$E$105/G370*K370</f>
        <v>4.4824348510819281</v>
      </c>
      <c r="I370" s="158">
        <f t="shared" ca="1" si="42"/>
        <v>442</v>
      </c>
      <c r="J370" s="233">
        <f ca="1">PROBLEMA!$F$102/(I370/IF(Tipo_Seccion_Ale=$J$17,12^0.5,4))</f>
        <v>36.199095022624434</v>
      </c>
      <c r="K370" s="234">
        <f t="shared" ca="1" si="43"/>
        <v>1.1100000000000001</v>
      </c>
    </row>
    <row r="371" spans="1:11" x14ac:dyDescent="0.5">
      <c r="A371" s="228">
        <f t="shared" si="44"/>
        <v>123785.81913490842</v>
      </c>
      <c r="B371" s="228">
        <f ca="1">PROBLEMA!$F$84/(E371/IF(Tipo_Seccion_Ale=$J$17,12^0.5,4))</f>
        <v>40.302267002518889</v>
      </c>
      <c r="C371" s="229">
        <f t="shared" ca="1" si="45"/>
        <v>1.1399999999999999</v>
      </c>
      <c r="D371" s="230">
        <f t="shared" ca="1" si="46"/>
        <v>108584.05187272669</v>
      </c>
      <c r="E371" s="231">
        <f t="shared" si="47"/>
        <v>397</v>
      </c>
      <c r="G371" s="232">
        <f t="shared" ca="1" si="41"/>
        <v>154133.60416858582</v>
      </c>
      <c r="H371" s="158">
        <f ca="1">PROBLEMA!$E$105/G371*K371</f>
        <v>4.4622209654406895</v>
      </c>
      <c r="I371" s="158">
        <f t="shared" ca="1" si="42"/>
        <v>443</v>
      </c>
      <c r="J371" s="233">
        <f ca="1">PROBLEMA!$F$102/(I371/IF(Tipo_Seccion_Ale=$J$17,12^0.5,4))</f>
        <v>36.117381489841989</v>
      </c>
      <c r="K371" s="234">
        <f t="shared" ca="1" si="43"/>
        <v>1.1100000000000001</v>
      </c>
    </row>
    <row r="372" spans="1:11" x14ac:dyDescent="0.5">
      <c r="A372" s="228">
        <f t="shared" si="44"/>
        <v>124410.21067480939</v>
      </c>
      <c r="B372" s="228">
        <f ca="1">PROBLEMA!$F$84/(E372/IF(Tipo_Seccion_Ale=$J$17,12^0.5,4))</f>
        <v>40.201005025125632</v>
      </c>
      <c r="C372" s="229">
        <f t="shared" ca="1" si="45"/>
        <v>1.1399999999999999</v>
      </c>
      <c r="D372" s="230">
        <f t="shared" ca="1" si="46"/>
        <v>109131.76374983281</v>
      </c>
      <c r="E372" s="231">
        <f t="shared" si="47"/>
        <v>398</v>
      </c>
      <c r="G372" s="232">
        <f t="shared" ca="1" si="41"/>
        <v>154830.25233951936</v>
      </c>
      <c r="H372" s="158">
        <f ca="1">PROBLEMA!$E$105/G372*K372</f>
        <v>4.4421435062432524</v>
      </c>
      <c r="I372" s="158">
        <f t="shared" ca="1" si="42"/>
        <v>444</v>
      </c>
      <c r="J372" s="233">
        <f ca="1">PROBLEMA!$F$102/(I372/IF(Tipo_Seccion_Ale=$J$17,12^0.5,4))</f>
        <v>36.036036036036037</v>
      </c>
      <c r="K372" s="234">
        <f t="shared" ca="1" si="43"/>
        <v>1.1100000000000001</v>
      </c>
    </row>
    <row r="373" spans="1:11" x14ac:dyDescent="0.5">
      <c r="A373" s="228">
        <f t="shared" si="44"/>
        <v>125036.17301103716</v>
      </c>
      <c r="B373" s="228">
        <f ca="1">PROBLEMA!$F$84/(E373/IF(Tipo_Seccion_Ale=$J$17,12^0.5,4))</f>
        <v>40.100250626566414</v>
      </c>
      <c r="C373" s="229">
        <f t="shared" ca="1" si="45"/>
        <v>1.1399999999999999</v>
      </c>
      <c r="D373" s="230">
        <f t="shared" ca="1" si="46"/>
        <v>109680.85351845366</v>
      </c>
      <c r="E373" s="231">
        <f t="shared" si="47"/>
        <v>399</v>
      </c>
      <c r="G373" s="232">
        <f t="shared" ca="1" si="41"/>
        <v>155528.47130677968</v>
      </c>
      <c r="H373" s="158">
        <f ca="1">PROBLEMA!$E$105/G373*K373</f>
        <v>4.3823615976754544</v>
      </c>
      <c r="I373" s="158">
        <f t="shared" ca="1" si="42"/>
        <v>445</v>
      </c>
      <c r="J373" s="233">
        <f ca="1">PROBLEMA!$F$102/(I373/IF(Tipo_Seccion_Ale=$J$17,12^0.5,4))</f>
        <v>35.955056179775283</v>
      </c>
      <c r="K373" s="234">
        <f t="shared" ca="1" si="43"/>
        <v>1.1000000000000001</v>
      </c>
    </row>
    <row r="374" spans="1:11" x14ac:dyDescent="0.5">
      <c r="A374" s="228">
        <f t="shared" si="44"/>
        <v>125663.70614359173</v>
      </c>
      <c r="B374" s="228">
        <f ca="1">PROBLEMA!$F$84/(E374/IF(Tipo_Seccion_Ale=$J$17,12^0.5,4))</f>
        <v>40</v>
      </c>
      <c r="C374" s="229">
        <f t="shared" ca="1" si="45"/>
        <v>1.1299999999999999</v>
      </c>
      <c r="D374" s="230">
        <f t="shared" ca="1" si="46"/>
        <v>111206.81959609888</v>
      </c>
      <c r="E374" s="231">
        <f t="shared" si="47"/>
        <v>400</v>
      </c>
      <c r="G374" s="232">
        <f t="shared" ca="1" si="41"/>
        <v>156228.26107036683</v>
      </c>
      <c r="H374" s="158">
        <f ca="1">PROBLEMA!$E$105/G374*K374</f>
        <v>4.3627317831631531</v>
      </c>
      <c r="I374" s="158">
        <f t="shared" ca="1" si="42"/>
        <v>446</v>
      </c>
      <c r="J374" s="233">
        <f ca="1">PROBLEMA!$F$102/(I374/IF(Tipo_Seccion_Ale=$J$17,12^0.5,4))</f>
        <v>35.874439461883405</v>
      </c>
      <c r="K374" s="234">
        <f t="shared" ca="1" si="43"/>
        <v>1.1000000000000001</v>
      </c>
    </row>
    <row r="375" spans="1:11" x14ac:dyDescent="0.5">
      <c r="A375" s="228">
        <f t="shared" si="44"/>
        <v>126292.81007247308</v>
      </c>
      <c r="B375" s="228">
        <f ca="1">PROBLEMA!$F$84/(E375/IF(Tipo_Seccion_Ale=$J$17,12^0.5,4))</f>
        <v>39.900249376558605</v>
      </c>
      <c r="C375" s="229">
        <f t="shared" ca="1" si="45"/>
        <v>1.1299999999999999</v>
      </c>
      <c r="D375" s="230">
        <f t="shared" ca="1" si="46"/>
        <v>111763.54873670185</v>
      </c>
      <c r="E375" s="231">
        <f t="shared" si="47"/>
        <v>401</v>
      </c>
      <c r="G375" s="232">
        <f t="shared" ca="1" si="41"/>
        <v>156929.62163028074</v>
      </c>
      <c r="H375" s="158">
        <f ca="1">PROBLEMA!$E$105/G375*K375</f>
        <v>4.3432335649529392</v>
      </c>
      <c r="I375" s="158">
        <f t="shared" ca="1" si="42"/>
        <v>447</v>
      </c>
      <c r="J375" s="233">
        <f ca="1">PROBLEMA!$F$102/(I375/IF(Tipo_Seccion_Ale=$J$17,12^0.5,4))</f>
        <v>35.794183445190157</v>
      </c>
      <c r="K375" s="234">
        <f t="shared" ca="1" si="43"/>
        <v>1.1000000000000001</v>
      </c>
    </row>
    <row r="376" spans="1:11" x14ac:dyDescent="0.5">
      <c r="A376" s="228">
        <f t="shared" si="44"/>
        <v>126923.48479768123</v>
      </c>
      <c r="B376" s="228">
        <f ca="1">PROBLEMA!$F$84/(E376/IF(Tipo_Seccion_Ale=$J$17,12^0.5,4))</f>
        <v>39.800995024875618</v>
      </c>
      <c r="C376" s="229">
        <f t="shared" ca="1" si="45"/>
        <v>1.1299999999999999</v>
      </c>
      <c r="D376" s="230">
        <f t="shared" ca="1" si="46"/>
        <v>112321.66796254978</v>
      </c>
      <c r="E376" s="231">
        <f t="shared" si="47"/>
        <v>402</v>
      </c>
      <c r="G376" s="232">
        <f t="shared" ca="1" si="41"/>
        <v>157632.55298652145</v>
      </c>
      <c r="H376" s="158">
        <f ca="1">PROBLEMA!$E$105/G376*K376</f>
        <v>4.3238657693901557</v>
      </c>
      <c r="I376" s="158">
        <f t="shared" ca="1" si="42"/>
        <v>448</v>
      </c>
      <c r="J376" s="233">
        <f ca="1">PROBLEMA!$F$102/(I376/IF(Tipo_Seccion_Ale=$J$17,12^0.5,4))</f>
        <v>35.714285714285715</v>
      </c>
      <c r="K376" s="234">
        <f t="shared" ca="1" si="43"/>
        <v>1.1000000000000001</v>
      </c>
    </row>
    <row r="377" spans="1:11" x14ac:dyDescent="0.5">
      <c r="A377" s="228">
        <f t="shared" si="44"/>
        <v>127555.73031921618</v>
      </c>
      <c r="B377" s="228">
        <f ca="1">PROBLEMA!$F$84/(E377/IF(Tipo_Seccion_Ale=$J$17,12^0.5,4))</f>
        <v>39.702233250620345</v>
      </c>
      <c r="C377" s="229">
        <f t="shared" ca="1" si="45"/>
        <v>1.1299999999999999</v>
      </c>
      <c r="D377" s="230">
        <f t="shared" ca="1" si="46"/>
        <v>112881.17727364265</v>
      </c>
      <c r="E377" s="231">
        <f t="shared" si="47"/>
        <v>403</v>
      </c>
      <c r="G377" s="232">
        <f t="shared" ca="1" si="41"/>
        <v>158337.05513908897</v>
      </c>
      <c r="H377" s="158">
        <f ca="1">PROBLEMA!$E$105/G377*K377</f>
        <v>4.3046272358752278</v>
      </c>
      <c r="I377" s="158">
        <f t="shared" ca="1" si="42"/>
        <v>449</v>
      </c>
      <c r="J377" s="233">
        <f ca="1">PROBLEMA!$F$102/(I377/IF(Tipo_Seccion_Ale=$J$17,12^0.5,4))</f>
        <v>35.634743875278396</v>
      </c>
      <c r="K377" s="234">
        <f t="shared" ca="1" si="43"/>
        <v>1.1000000000000001</v>
      </c>
    </row>
    <row r="378" spans="1:11" x14ac:dyDescent="0.5">
      <c r="A378" s="228">
        <f t="shared" si="44"/>
        <v>128189.54663707792</v>
      </c>
      <c r="B378" s="228">
        <f ca="1">PROBLEMA!$F$84/(E378/IF(Tipo_Seccion_Ale=$J$17,12^0.5,4))</f>
        <v>39.603960396039604</v>
      </c>
      <c r="C378" s="229">
        <f t="shared" ca="1" si="45"/>
        <v>1.1299999999999999</v>
      </c>
      <c r="D378" s="230">
        <f t="shared" ca="1" si="46"/>
        <v>113442.07666998047</v>
      </c>
      <c r="E378" s="231">
        <f t="shared" si="47"/>
        <v>404</v>
      </c>
      <c r="G378" s="235">
        <f t="shared" ca="1" si="41"/>
        <v>159043.12808798326</v>
      </c>
      <c r="H378" s="158">
        <f ca="1">PROBLEMA!$E$105/G378*K378</f>
        <v>4.2855168166897863</v>
      </c>
      <c r="I378" s="158">
        <f t="shared" ca="1" si="42"/>
        <v>450</v>
      </c>
      <c r="J378" s="236">
        <f ca="1">PROBLEMA!$F$102/(I378/IF(Tipo_Seccion_Ale=$J$17,12^0.5,4))</f>
        <v>35.555555555555557</v>
      </c>
      <c r="K378" s="237">
        <f t="shared" ca="1" si="43"/>
        <v>1.1000000000000001</v>
      </c>
    </row>
    <row r="379" spans="1:11" x14ac:dyDescent="0.5">
      <c r="A379" s="228">
        <f t="shared" si="44"/>
        <v>128824.93375126645</v>
      </c>
      <c r="B379" s="228">
        <f ca="1">PROBLEMA!$F$84/(E379/IF(Tipo_Seccion_Ale=$J$17,12^0.5,4))</f>
        <v>39.506172839506171</v>
      </c>
      <c r="C379" s="229">
        <f t="shared" ca="1" si="45"/>
        <v>1.1299999999999999</v>
      </c>
      <c r="D379" s="230">
        <f t="shared" ca="1" si="46"/>
        <v>114004.36615156324</v>
      </c>
      <c r="E379" s="231">
        <f t="shared" si="47"/>
        <v>405</v>
      </c>
      <c r="G379" s="232">
        <f t="shared" ca="1" si="41"/>
        <v>159750.77183320437</v>
      </c>
      <c r="H379" s="158">
        <f ca="1">PROBLEMA!$E$105/G379*K379</f>
        <v>4.2665333768254916</v>
      </c>
      <c r="I379" s="158">
        <f t="shared" ca="1" si="42"/>
        <v>451</v>
      </c>
      <c r="J379" s="233">
        <f ca="1">PROBLEMA!$F$102/(I379/IF(Tipo_Seccion_Ale=$J$17,12^0.5,4))</f>
        <v>35.476718403547672</v>
      </c>
      <c r="K379" s="234">
        <f t="shared" ca="1" si="43"/>
        <v>1.1000000000000001</v>
      </c>
    </row>
    <row r="380" spans="1:11" x14ac:dyDescent="0.5">
      <c r="A380" s="228">
        <f t="shared" si="44"/>
        <v>129461.89166178179</v>
      </c>
      <c r="B380" s="228">
        <f ca="1">PROBLEMA!$F$84/(E380/IF(Tipo_Seccion_Ale=$J$17,12^0.5,4))</f>
        <v>39.408866995073893</v>
      </c>
      <c r="C380" s="229">
        <f t="shared" ca="1" si="45"/>
        <v>1.1299999999999999</v>
      </c>
      <c r="D380" s="230">
        <f t="shared" ca="1" si="46"/>
        <v>114568.04571839097</v>
      </c>
      <c r="E380" s="231">
        <f t="shared" si="47"/>
        <v>406</v>
      </c>
      <c r="G380" s="232">
        <f t="shared" ca="1" si="41"/>
        <v>160459.98637475228</v>
      </c>
      <c r="H380" s="158">
        <f ca="1">PROBLEMA!$E$105/G380*K380</f>
        <v>4.2476757938154996</v>
      </c>
      <c r="I380" s="158">
        <f t="shared" ca="1" si="42"/>
        <v>452</v>
      </c>
      <c r="J380" s="233">
        <f ca="1">PROBLEMA!$F$102/(I380/IF(Tipo_Seccion_Ale=$J$17,12^0.5,4))</f>
        <v>35.398230088495573</v>
      </c>
      <c r="K380" s="234">
        <f t="shared" ca="1" si="43"/>
        <v>1.1000000000000001</v>
      </c>
    </row>
    <row r="381" spans="1:11" x14ac:dyDescent="0.5">
      <c r="A381" s="228">
        <f t="shared" si="44"/>
        <v>130100.42036862391</v>
      </c>
      <c r="B381" s="228">
        <f ca="1">PROBLEMA!$F$84/(E381/IF(Tipo_Seccion_Ale=$J$17,12^0.5,4))</f>
        <v>39.31203931203931</v>
      </c>
      <c r="C381" s="229">
        <f t="shared" ca="1" si="45"/>
        <v>1.1299999999999999</v>
      </c>
      <c r="D381" s="230">
        <f t="shared" ca="1" si="46"/>
        <v>115133.11537046364</v>
      </c>
      <c r="E381" s="231">
        <f t="shared" si="47"/>
        <v>407</v>
      </c>
      <c r="G381" s="232">
        <f t="shared" ca="1" si="41"/>
        <v>161170.77171262697</v>
      </c>
      <c r="H381" s="158">
        <f ca="1">PROBLEMA!$E$105/G381*K381</f>
        <v>4.2289429575685356</v>
      </c>
      <c r="I381" s="158">
        <f t="shared" ca="1" si="42"/>
        <v>453</v>
      </c>
      <c r="J381" s="233">
        <f ca="1">PROBLEMA!$F$102/(I381/IF(Tipo_Seccion_Ale=$J$17,12^0.5,4))</f>
        <v>35.320088300220753</v>
      </c>
      <c r="K381" s="234">
        <f t="shared" ca="1" si="43"/>
        <v>1.1000000000000001</v>
      </c>
    </row>
    <row r="382" spans="1:11" x14ac:dyDescent="0.5">
      <c r="A382" s="228">
        <f t="shared" si="44"/>
        <v>130740.51987179283</v>
      </c>
      <c r="B382" s="228">
        <f ca="1">PROBLEMA!$F$84/(E382/IF(Tipo_Seccion_Ale=$J$17,12^0.5,4))</f>
        <v>39.215686274509807</v>
      </c>
      <c r="C382" s="229">
        <f t="shared" ca="1" si="45"/>
        <v>1.1299999999999999</v>
      </c>
      <c r="D382" s="230">
        <f t="shared" ca="1" si="46"/>
        <v>115699.57510778127</v>
      </c>
      <c r="E382" s="231">
        <f t="shared" si="47"/>
        <v>408</v>
      </c>
      <c r="G382" s="232">
        <f t="shared" ca="1" si="41"/>
        <v>161883.12784682846</v>
      </c>
      <c r="H382" s="158">
        <f ca="1">PROBLEMA!$E$105/G382*K382</f>
        <v>4.2103337702055237</v>
      </c>
      <c r="I382" s="158">
        <f t="shared" ca="1" si="42"/>
        <v>454</v>
      </c>
      <c r="J382" s="233">
        <f ca="1">PROBLEMA!$F$102/(I382/IF(Tipo_Seccion_Ale=$J$17,12^0.5,4))</f>
        <v>35.242290748898675</v>
      </c>
      <c r="K382" s="234">
        <f t="shared" ca="1" si="43"/>
        <v>1.1000000000000001</v>
      </c>
    </row>
    <row r="383" spans="1:11" x14ac:dyDescent="0.5">
      <c r="A383" s="228">
        <f t="shared" si="44"/>
        <v>131382.19017128856</v>
      </c>
      <c r="B383" s="228">
        <f ca="1">PROBLEMA!$F$84/(E383/IF(Tipo_Seccion_Ale=$J$17,12^0.5,4))</f>
        <v>39.119804400977998</v>
      </c>
      <c r="C383" s="229">
        <f t="shared" ca="1" si="45"/>
        <v>1.1299999999999999</v>
      </c>
      <c r="D383" s="230">
        <f t="shared" ca="1" si="46"/>
        <v>116267.42493034387</v>
      </c>
      <c r="E383" s="231">
        <f t="shared" si="47"/>
        <v>409</v>
      </c>
      <c r="G383" s="232">
        <f t="shared" ca="1" si="41"/>
        <v>162597.05477735674</v>
      </c>
      <c r="H383" s="158">
        <f ca="1">PROBLEMA!$E$105/G383*K383</f>
        <v>4.1918471458987163</v>
      </c>
      <c r="I383" s="158">
        <f t="shared" ca="1" si="42"/>
        <v>455</v>
      </c>
      <c r="J383" s="233">
        <f ca="1">PROBLEMA!$F$102/(I383/IF(Tipo_Seccion_Ale=$J$17,12^0.5,4))</f>
        <v>35.164835164835168</v>
      </c>
      <c r="K383" s="234">
        <f t="shared" ca="1" si="43"/>
        <v>1.1000000000000001</v>
      </c>
    </row>
    <row r="384" spans="1:11" x14ac:dyDescent="0.5">
      <c r="A384" s="228">
        <f t="shared" si="44"/>
        <v>132025.43126711107</v>
      </c>
      <c r="B384" s="228">
        <f ca="1">PROBLEMA!$F$84/(E384/IF(Tipo_Seccion_Ale=$J$17,12^0.5,4))</f>
        <v>39.024390243902438</v>
      </c>
      <c r="C384" s="229">
        <f t="shared" ca="1" si="45"/>
        <v>1.1299999999999999</v>
      </c>
      <c r="D384" s="230">
        <f t="shared" ca="1" si="46"/>
        <v>116836.6648381514</v>
      </c>
      <c r="E384" s="231">
        <f t="shared" si="47"/>
        <v>410</v>
      </c>
      <c r="G384" s="235">
        <f t="shared" ca="1" si="41"/>
        <v>163312.55250421181</v>
      </c>
      <c r="H384" s="158">
        <f ca="1">PROBLEMA!$E$105/G384*K384</f>
        <v>4.1734820107133048</v>
      </c>
      <c r="I384" s="158">
        <f t="shared" ca="1" si="42"/>
        <v>456</v>
      </c>
      <c r="J384" s="236">
        <f ca="1">PROBLEMA!$F$102/(I384/IF(Tipo_Seccion_Ale=$J$17,12^0.5,4))</f>
        <v>35.087719298245617</v>
      </c>
      <c r="K384" s="237">
        <f t="shared" ca="1" si="43"/>
        <v>1.1000000000000001</v>
      </c>
    </row>
  </sheetData>
  <sheetProtection algorithmName="SHA-512" hashValue="/vBW5r50ijyA6E38DUsvDizXOQOnOYuDKIv0TP0YTwEk+ylq95il+8GzF8eBGNPwu87KFr4kfCtq6ptqQBBqJA==" saltValue="MT00MbrEXpTguXS98T5SwA==" spinCount="100000" sheet="1" objects="1" scenarios="1" selectLockedCells="1"/>
  <mergeCells count="5">
    <mergeCell ref="H8:N8"/>
    <mergeCell ref="F8:G8"/>
    <mergeCell ref="R5:V5"/>
    <mergeCell ref="G35:K35"/>
    <mergeCell ref="A35:E35"/>
  </mergeCells>
  <conditionalFormatting sqref="B2">
    <cfRule type="cellIs" dxfId="21" priority="26" operator="greaterThan">
      <formula>35</formula>
    </cfRule>
  </conditionalFormatting>
  <conditionalFormatting sqref="J10:L14 J15 C29:C33">
    <cfRule type="cellIs" dxfId="20" priority="13" stopIfTrue="1" operator="equal">
      <formula>#REF!</formula>
    </cfRule>
    <cfRule type="cellIs" dxfId="19" priority="21" operator="equal">
      <formula>#REF!</formula>
    </cfRule>
    <cfRule type="cellIs" dxfId="18" priority="22" operator="equal">
      <formula>#REF!</formula>
    </cfRule>
  </conditionalFormatting>
  <conditionalFormatting sqref="O15">
    <cfRule type="cellIs" dxfId="17" priority="15" operator="notEqual">
      <formula>3</formula>
    </cfRule>
  </conditionalFormatting>
  <conditionalFormatting sqref="P15">
    <cfRule type="cellIs" dxfId="16" priority="20" operator="greaterThan">
      <formula>2</formula>
    </cfRule>
  </conditionalFormatting>
  <conditionalFormatting sqref="P10:Q14">
    <cfRule type="cellIs" dxfId="15" priority="14" operator="greaterThan">
      <formula>0</formula>
    </cfRule>
  </conditionalFormatting>
  <conditionalFormatting sqref="Q15">
    <cfRule type="cellIs" dxfId="14" priority="19" operator="greaterThan">
      <formula>1</formula>
    </cfRule>
  </conditionalFormatting>
  <conditionalFormatting sqref="R10:W14">
    <cfRule type="cellIs" dxfId="13" priority="16" operator="equal">
      <formula>0.0001</formula>
    </cfRule>
    <cfRule type="cellIs" dxfId="12" priority="17" operator="equal">
      <formula>0</formula>
    </cfRule>
    <cfRule type="cellIs" dxfId="11" priority="18" operator="greaterThan">
      <formula>0</formula>
    </cfRule>
  </conditionalFormatting>
  <conditionalFormatting sqref="R24 R16:U20 R22:U23 R25:U35">
    <cfRule type="expression" dxfId="10" priority="3">
      <formula>$P$4=_OK</formula>
    </cfRule>
  </conditionalFormatting>
  <conditionalFormatting sqref="R16:V20 S21:V21 R22:V35">
    <cfRule type="expression" dxfId="9" priority="4">
      <formula>$P$4=_OK</formula>
    </cfRule>
  </conditionalFormatting>
  <conditionalFormatting sqref="V19:V35">
    <cfRule type="expression" dxfId="8" priority="5">
      <formula>$P$4=_OK</formula>
    </cfRule>
  </conditionalFormatting>
  <conditionalFormatting sqref="R21">
    <cfRule type="expression" dxfId="7" priority="1">
      <formula>$P$4=_OK</formula>
    </cfRule>
  </conditionalFormatting>
  <conditionalFormatting sqref="R21">
    <cfRule type="expression" dxfId="6" priority="2">
      <formula>$P$4=_OK</formula>
    </cfRule>
  </conditionalFormatting>
  <pageMargins left="0.7" right="0.7" top="0.75" bottom="0.75" header="0.3" footer="0.3"/>
  <pageSetup paperSize="9" orientation="portrait" horizontalDpi="4294967295" verticalDpi="4294967295" r:id="rId1"/>
  <tableParts count="3">
    <tablePart r:id="rId2"/>
    <tablePart r:id="rId3"/>
    <tablePart r:id="rId4"/>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published="0" codeName="c_Datos_Fijos">
    <tabColor rgb="FF00B0F0"/>
    <pageSetUpPr fitToPage="1"/>
  </sheetPr>
  <dimension ref="A1:AN8"/>
  <sheetViews>
    <sheetView showGridLines="0" showRowColHeaders="0" showZeros="0" zoomScale="150" zoomScaleNormal="150" workbookViewId="0">
      <pane xSplit="6" ySplit="4" topLeftCell="G5" activePane="bottomRight" state="frozen"/>
      <selection pane="topRight" activeCell="G1" sqref="G1"/>
      <selection pane="bottomLeft" activeCell="A5" sqref="A5"/>
      <selection pane="bottomRight" activeCell="B5" sqref="B5"/>
    </sheetView>
  </sheetViews>
  <sheetFormatPr baseColWidth="10" defaultColWidth="0" defaultRowHeight="14.35" outlineLevelRow="1" outlineLevelCol="1" x14ac:dyDescent="0.5"/>
  <cols>
    <col min="1" max="1" width="3.234375" customWidth="1"/>
    <col min="2" max="2" width="28.05859375" customWidth="1"/>
    <col min="3" max="3" width="8.46875" customWidth="1"/>
    <col min="4" max="4" width="7.3515625" customWidth="1"/>
    <col min="5" max="5" width="7" customWidth="1"/>
    <col min="6" max="6" width="9.8203125" customWidth="1"/>
    <col min="7" max="9" width="4.46875" hidden="1" customWidth="1" outlineLevel="1"/>
    <col min="10" max="11" width="8.64453125" hidden="1" customWidth="1" outlineLevel="1"/>
    <col min="12" max="12" width="6.41015625" customWidth="1" collapsed="1"/>
    <col min="13" max="21" width="6.41015625" hidden="1" customWidth="1" outlineLevel="1"/>
    <col min="22" max="22" width="8.64453125" customWidth="1" collapsed="1"/>
    <col min="23" max="23" width="8.64453125" hidden="1" customWidth="1" outlineLevel="1"/>
    <col min="24" max="24" width="9.1171875" hidden="1" customWidth="1" outlineLevel="1"/>
    <col min="25" max="25" width="9.05859375" customWidth="1" collapsed="1"/>
    <col min="26" max="26" width="9.29296875" hidden="1" customWidth="1" outlineLevel="1"/>
    <col min="27" max="33" width="8.64453125" hidden="1" customWidth="1" outlineLevel="1"/>
    <col min="34" max="34" width="4.234375" customWidth="1" collapsed="1"/>
    <col min="35" max="35" width="5.64453125" customWidth="1" collapsed="1"/>
    <col min="36" max="36" width="1.64453125" customWidth="1"/>
    <col min="37" max="37" width="3.64453125" customWidth="1"/>
    <col min="38" max="38" width="3.64453125" hidden="1" customWidth="1"/>
    <col min="39" max="39" width="2.76171875" customWidth="1"/>
    <col min="40" max="40" width="0" hidden="1" customWidth="1"/>
    <col min="41" max="16384" width="10.8203125" hidden="1"/>
  </cols>
  <sheetData>
    <row r="1" spans="1:39" ht="14.7" hidden="1" outlineLevel="1" thickBot="1" x14ac:dyDescent="0.55000000000000004">
      <c r="A1" s="271">
        <f>MAX(T_D_FIJOS[Nº])</f>
        <v>4</v>
      </c>
      <c r="B1" s="2" t="s">
        <v>2</v>
      </c>
      <c r="C1" s="3" t="s">
        <v>3</v>
      </c>
      <c r="D1" s="4" t="s">
        <v>197</v>
      </c>
      <c r="E1" s="4" t="s">
        <v>5</v>
      </c>
      <c r="F1" s="4" t="s">
        <v>160</v>
      </c>
      <c r="G1" s="4" t="s">
        <v>95</v>
      </c>
      <c r="H1" s="4" t="s">
        <v>96</v>
      </c>
      <c r="I1" s="4" t="s">
        <v>94</v>
      </c>
      <c r="J1" s="4" t="s">
        <v>55</v>
      </c>
      <c r="K1" s="4" t="s">
        <v>196</v>
      </c>
      <c r="L1" s="4" t="s">
        <v>112</v>
      </c>
      <c r="M1" s="4" t="s">
        <v>113</v>
      </c>
      <c r="N1" s="4" t="s">
        <v>114</v>
      </c>
      <c r="O1" s="4" t="s">
        <v>115</v>
      </c>
      <c r="P1" s="4" t="s">
        <v>116</v>
      </c>
      <c r="Q1" s="4" t="s">
        <v>117</v>
      </c>
      <c r="R1" s="4" t="s">
        <v>118</v>
      </c>
      <c r="S1" s="4" t="s">
        <v>119</v>
      </c>
      <c r="T1" s="4" t="s">
        <v>120</v>
      </c>
      <c r="U1" s="4" t="s">
        <v>121</v>
      </c>
      <c r="V1" s="10" t="str">
        <f ca="1">"Rv_"&amp;G3</f>
        <v>Rv_B</v>
      </c>
      <c r="W1" s="10" t="str">
        <f ca="1">"Rv_"&amp;H3</f>
        <v>Rv_C</v>
      </c>
      <c r="X1" s="10" t="str">
        <f ca="1">"Rh_"&amp;I3</f>
        <v>Rh_C</v>
      </c>
      <c r="Y1" s="10" t="s">
        <v>81</v>
      </c>
      <c r="Z1" s="10" t="s">
        <v>78</v>
      </c>
      <c r="AA1" s="10" t="s">
        <v>84</v>
      </c>
      <c r="AB1" s="10" t="s">
        <v>79</v>
      </c>
      <c r="AC1" s="10" t="s">
        <v>82</v>
      </c>
      <c r="AD1" s="10" t="s">
        <v>80</v>
      </c>
      <c r="AE1" s="10" t="s">
        <v>83</v>
      </c>
      <c r="AF1" s="10" t="s">
        <v>222</v>
      </c>
      <c r="AG1" s="10" t="s">
        <v>38</v>
      </c>
      <c r="AI1" s="11">
        <v>2.5</v>
      </c>
    </row>
    <row r="2" spans="1:39" hidden="1" outlineLevel="1" x14ac:dyDescent="0.5">
      <c r="A2" s="5"/>
      <c r="B2" s="5">
        <v>1</v>
      </c>
      <c r="C2" s="5">
        <v>2</v>
      </c>
      <c r="D2" s="5">
        <v>3</v>
      </c>
      <c r="E2" s="5">
        <v>4</v>
      </c>
      <c r="F2" s="5">
        <v>5</v>
      </c>
      <c r="G2" s="5">
        <v>6</v>
      </c>
      <c r="H2" s="5">
        <v>7</v>
      </c>
      <c r="I2" s="5">
        <v>8</v>
      </c>
      <c r="J2" s="5">
        <v>9</v>
      </c>
      <c r="K2" s="5">
        <v>10</v>
      </c>
      <c r="L2" s="5">
        <v>11</v>
      </c>
      <c r="M2" s="5">
        <v>12</v>
      </c>
      <c r="N2" s="5">
        <v>13</v>
      </c>
      <c r="O2" s="5">
        <v>14</v>
      </c>
      <c r="P2" s="5">
        <v>15</v>
      </c>
      <c r="Q2" s="5">
        <v>16</v>
      </c>
      <c r="R2" s="5">
        <v>17</v>
      </c>
      <c r="S2" s="5">
        <v>18</v>
      </c>
      <c r="T2" s="5">
        <v>19</v>
      </c>
      <c r="U2" s="5">
        <v>20</v>
      </c>
      <c r="V2" s="5">
        <v>21</v>
      </c>
      <c r="W2" s="5">
        <v>22</v>
      </c>
      <c r="X2" s="5">
        <v>23</v>
      </c>
      <c r="Y2" s="5">
        <v>24</v>
      </c>
      <c r="Z2" s="5">
        <v>25</v>
      </c>
      <c r="AA2" s="5">
        <v>26</v>
      </c>
      <c r="AB2" s="5">
        <v>27</v>
      </c>
      <c r="AC2" s="5">
        <v>28</v>
      </c>
      <c r="AD2" s="5">
        <v>29</v>
      </c>
      <c r="AE2" s="5">
        <v>30</v>
      </c>
      <c r="AF2" s="5">
        <v>31</v>
      </c>
      <c r="AG2" s="139" t="s">
        <v>305</v>
      </c>
    </row>
    <row r="3" spans="1:39" ht="14.7" hidden="1" outlineLevel="1" thickBot="1" x14ac:dyDescent="0.55000000000000004">
      <c r="A3" s="272"/>
      <c r="B3" s="126" t="str">
        <f ca="1">Nombre_Archivo&amp;" - "&amp;C3&amp;"m-"&amp;ROUND(D3,0)&amp;"°"&amp;E3&amp;"mm-"&amp;F3&amp;G3&amp;H3&amp;I3&amp;" S"&amp;J3&amp;"-"&amp;K3</f>
        <v>Cerchas  - 4m-30°60mm-redondo macizoBCC S235-3</v>
      </c>
      <c r="C3" s="22">
        <f t="shared" ref="C3:K3" ca="1" si="0">IF(INDIRECT(C1&amp;"_Ale")=0,0,INDIRECT(C1&amp;"_Ale"))</f>
        <v>4</v>
      </c>
      <c r="D3" s="136">
        <f t="shared" ca="1" si="0"/>
        <v>30</v>
      </c>
      <c r="E3" s="22">
        <f t="shared" ca="1" si="0"/>
        <v>60</v>
      </c>
      <c r="F3" s="22" t="str">
        <f t="shared" ca="1" si="0"/>
        <v>redondo macizo</v>
      </c>
      <c r="G3" s="22" t="str">
        <f t="shared" ca="1" si="0"/>
        <v>B</v>
      </c>
      <c r="H3" s="22" t="str">
        <f t="shared" ca="1" si="0"/>
        <v>C</v>
      </c>
      <c r="I3" s="22" t="str">
        <f t="shared" ca="1" si="0"/>
        <v>C</v>
      </c>
      <c r="J3" s="22">
        <f t="shared" ca="1" si="0"/>
        <v>235</v>
      </c>
      <c r="K3" s="22">
        <f t="shared" ca="1" si="0"/>
        <v>3</v>
      </c>
      <c r="L3" s="22">
        <f t="shared" ref="L3:AF3" ca="1" si="1">IF(INDIRECT(L1)=0,0,INDIRECT(L1))</f>
        <v>100</v>
      </c>
      <c r="M3" s="22">
        <f t="shared" ca="1" si="1"/>
        <v>0</v>
      </c>
      <c r="N3" s="22">
        <f t="shared" ca="1" si="1"/>
        <v>0</v>
      </c>
      <c r="O3" s="22">
        <f t="shared" ca="1" si="1"/>
        <v>100</v>
      </c>
      <c r="P3" s="22">
        <f t="shared" ca="1" si="1"/>
        <v>-150</v>
      </c>
      <c r="Q3" s="22">
        <f t="shared" ca="1" si="1"/>
        <v>-50</v>
      </c>
      <c r="R3" s="22">
        <f t="shared" ca="1" si="1"/>
        <v>0</v>
      </c>
      <c r="S3" s="22">
        <f t="shared" ca="1" si="1"/>
        <v>0</v>
      </c>
      <c r="T3" s="22">
        <f t="shared" ca="1" si="1"/>
        <v>100</v>
      </c>
      <c r="U3" s="22">
        <f t="shared" ca="1" si="1"/>
        <v>-150</v>
      </c>
      <c r="V3" s="135">
        <f t="shared" ca="1" si="1"/>
        <v>-260.57</v>
      </c>
      <c r="W3" s="135">
        <f t="shared" ca="1" si="1"/>
        <v>210.57</v>
      </c>
      <c r="X3" s="135">
        <f t="shared" ca="1" si="1"/>
        <v>100</v>
      </c>
      <c r="Y3" s="135">
        <f t="shared" ca="1" si="1"/>
        <v>-200.00000000000003</v>
      </c>
      <c r="Z3" s="135">
        <f t="shared" ca="1" si="1"/>
        <v>223.20508075688775</v>
      </c>
      <c r="AA3" s="135">
        <f t="shared" ca="1" si="1"/>
        <v>-421.14000000000004</v>
      </c>
      <c r="AB3" s="135">
        <f t="shared" ca="1" si="1"/>
        <v>464.71793854977858</v>
      </c>
      <c r="AC3" s="135">
        <f t="shared" ca="1" si="1"/>
        <v>400.00000000000006</v>
      </c>
      <c r="AD3" s="135">
        <f t="shared" ca="1" si="1"/>
        <v>-619.6152422706632</v>
      </c>
      <c r="AE3" s="135">
        <f t="shared" ca="1" si="1"/>
        <v>121.14</v>
      </c>
      <c r="AF3" s="22">
        <f t="shared" ca="1" si="1"/>
        <v>108</v>
      </c>
      <c r="AG3" s="140" t="str">
        <f>D_Fijos</f>
        <v>Sí</v>
      </c>
      <c r="AH3" s="141" t="str">
        <f>IF(Ver_Resultados=_OK,PROBLEMA!O3,"NO "&amp;PROBLEMA!O3)</f>
        <v>Ver Resultados</v>
      </c>
      <c r="AI3" s="142">
        <f ca="1">MAX(T_D_FIJOS[N_Pb])</f>
        <v>4</v>
      </c>
    </row>
    <row r="4" spans="1:39" ht="43.7" collapsed="1" thickTop="1" thickBot="1" x14ac:dyDescent="0.55000000000000004">
      <c r="A4" s="264" t="s">
        <v>291</v>
      </c>
      <c r="B4" s="261" t="s">
        <v>2</v>
      </c>
      <c r="C4" s="265" t="s">
        <v>77</v>
      </c>
      <c r="D4" s="262" t="s">
        <v>201</v>
      </c>
      <c r="E4" s="265" t="s">
        <v>93</v>
      </c>
      <c r="F4" s="262" t="s">
        <v>159</v>
      </c>
      <c r="G4" s="265" t="s">
        <v>98</v>
      </c>
      <c r="H4" s="265" t="s">
        <v>99</v>
      </c>
      <c r="I4" s="265" t="s">
        <v>97</v>
      </c>
      <c r="J4" s="262" t="s">
        <v>55</v>
      </c>
      <c r="K4" s="263" t="s">
        <v>202</v>
      </c>
      <c r="L4" s="265" t="s">
        <v>100</v>
      </c>
      <c r="M4" s="265" t="s">
        <v>101</v>
      </c>
      <c r="N4" s="265" t="s">
        <v>102</v>
      </c>
      <c r="O4" s="265" t="s">
        <v>103</v>
      </c>
      <c r="P4" s="265" t="s">
        <v>104</v>
      </c>
      <c r="Q4" s="265" t="s">
        <v>105</v>
      </c>
      <c r="R4" s="265" t="s">
        <v>106</v>
      </c>
      <c r="S4" s="265" t="s">
        <v>107</v>
      </c>
      <c r="T4" s="265" t="s">
        <v>108</v>
      </c>
      <c r="U4" s="265" t="s">
        <v>109</v>
      </c>
      <c r="V4" s="264" t="s">
        <v>218</v>
      </c>
      <c r="W4" s="264" t="s">
        <v>219</v>
      </c>
      <c r="X4" s="264" t="s">
        <v>217</v>
      </c>
      <c r="Y4" s="264" t="s">
        <v>205</v>
      </c>
      <c r="Z4" s="264" t="s">
        <v>206</v>
      </c>
      <c r="AA4" s="264" t="s">
        <v>207</v>
      </c>
      <c r="AB4" s="264" t="s">
        <v>220</v>
      </c>
      <c r="AC4" s="264" t="s">
        <v>221</v>
      </c>
      <c r="AD4" s="264" t="s">
        <v>208</v>
      </c>
      <c r="AE4" s="264" t="s">
        <v>224</v>
      </c>
      <c r="AF4" s="264" t="s">
        <v>223</v>
      </c>
      <c r="AG4" s="262" t="s">
        <v>39</v>
      </c>
      <c r="AH4" s="269" t="s">
        <v>234</v>
      </c>
      <c r="AI4" s="267" t="s">
        <v>235</v>
      </c>
      <c r="AK4" s="290" t="s">
        <v>31</v>
      </c>
      <c r="AM4" s="297" t="str">
        <f>Version</f>
        <v>V1.6</v>
      </c>
    </row>
    <row r="5" spans="1:39" ht="29" thickTop="1" x14ac:dyDescent="0.5">
      <c r="A5" s="277">
        <f>ROW()-ROW(T_D_FIJOS[[#Headers],[Nº]])</f>
        <v>1</v>
      </c>
      <c r="B5" s="308" t="s">
        <v>322</v>
      </c>
      <c r="C5" s="28">
        <v>4</v>
      </c>
      <c r="D5" s="319">
        <v>30</v>
      </c>
      <c r="E5" s="28">
        <v>60</v>
      </c>
      <c r="F5" s="266" t="s">
        <v>57</v>
      </c>
      <c r="G5" s="28" t="s">
        <v>56</v>
      </c>
      <c r="H5" s="5" t="s">
        <v>65</v>
      </c>
      <c r="I5" s="28" t="s">
        <v>65</v>
      </c>
      <c r="J5" s="5">
        <v>235</v>
      </c>
      <c r="K5" s="5">
        <v>3</v>
      </c>
      <c r="L5" s="5">
        <v>100</v>
      </c>
      <c r="M5" s="5">
        <v>0</v>
      </c>
      <c r="N5" s="5">
        <v>0</v>
      </c>
      <c r="O5" s="5">
        <v>100</v>
      </c>
      <c r="P5" s="5">
        <v>-150</v>
      </c>
      <c r="Q5" s="5">
        <v>-50</v>
      </c>
      <c r="R5" s="5">
        <v>0</v>
      </c>
      <c r="S5" s="5">
        <v>0</v>
      </c>
      <c r="T5" s="5">
        <v>100</v>
      </c>
      <c r="U5" s="5">
        <v>-150</v>
      </c>
      <c r="V5" s="137">
        <v>-260.57</v>
      </c>
      <c r="W5" s="137">
        <v>210.57</v>
      </c>
      <c r="X5" s="137">
        <v>100</v>
      </c>
      <c r="Y5" s="137">
        <v>-200.00000000000003</v>
      </c>
      <c r="Z5" s="137">
        <v>223.20508075688775</v>
      </c>
      <c r="AA5" s="137">
        <v>-421.14000000000004</v>
      </c>
      <c r="AB5" s="137">
        <v>464.71793854977858</v>
      </c>
      <c r="AC5" s="137">
        <v>400.00000000000006</v>
      </c>
      <c r="AD5" s="137">
        <v>-619.6152422706632</v>
      </c>
      <c r="AE5" s="137">
        <v>121.14</v>
      </c>
      <c r="AF5" s="29">
        <v>108</v>
      </c>
      <c r="AG5" s="28"/>
      <c r="AH5" s="278"/>
      <c r="AI5" s="276">
        <f ca="1">IF(Imp_OK=_OK,ROW()-ROW(T_D_FIJOS[[#Headers],[N_Pb]]),IF(T_D_FIJOS[[#This Row],[IMPRIMIR]]="",0,COUNTA(INDIRECT("$AH$5:AH"&amp;ROW()))))</f>
        <v>1</v>
      </c>
    </row>
    <row r="6" spans="1:39" ht="28.7" x14ac:dyDescent="0.5">
      <c r="A6" s="277">
        <f>ROW()-ROW(T_D_FIJOS[[#Headers],[Nº]])</f>
        <v>2</v>
      </c>
      <c r="B6" s="308" t="s">
        <v>323</v>
      </c>
      <c r="C6" s="28">
        <v>5</v>
      </c>
      <c r="D6" s="321">
        <v>45</v>
      </c>
      <c r="E6" s="28">
        <v>50</v>
      </c>
      <c r="F6" s="266" t="s">
        <v>57</v>
      </c>
      <c r="G6" s="28" t="s">
        <v>68</v>
      </c>
      <c r="H6" s="5" t="s">
        <v>65</v>
      </c>
      <c r="I6" s="28" t="s">
        <v>68</v>
      </c>
      <c r="J6" s="5">
        <v>355</v>
      </c>
      <c r="K6" s="5">
        <v>4</v>
      </c>
      <c r="L6" s="5">
        <v>-150</v>
      </c>
      <c r="M6" s="5">
        <v>-50</v>
      </c>
      <c r="N6" s="5">
        <v>0</v>
      </c>
      <c r="O6" s="5">
        <v>0</v>
      </c>
      <c r="P6" s="5">
        <v>150</v>
      </c>
      <c r="Q6" s="5">
        <v>50</v>
      </c>
      <c r="R6" s="5">
        <v>0</v>
      </c>
      <c r="S6" s="5">
        <v>0</v>
      </c>
      <c r="T6" s="5">
        <v>0</v>
      </c>
      <c r="U6" s="5">
        <v>150</v>
      </c>
      <c r="V6" s="137">
        <v>200</v>
      </c>
      <c r="W6" s="137">
        <v>-150</v>
      </c>
      <c r="X6" s="137">
        <v>-200</v>
      </c>
      <c r="Y6" s="137">
        <v>212.13203435596427</v>
      </c>
      <c r="Z6" s="137">
        <v>-200.00000000000003</v>
      </c>
      <c r="AA6" s="137">
        <v>212.13203435596427</v>
      </c>
      <c r="AB6" s="137">
        <v>-150.00000000000003</v>
      </c>
      <c r="AC6" s="137">
        <v>70.710678118654755</v>
      </c>
      <c r="AD6" s="137">
        <v>300</v>
      </c>
      <c r="AE6" s="137">
        <v>0</v>
      </c>
      <c r="AF6" s="29">
        <v>89</v>
      </c>
      <c r="AG6" s="28"/>
      <c r="AH6" s="278"/>
      <c r="AI6" s="276">
        <f ca="1">IF(Imp_OK=_OK,ROW()-ROW(T_D_FIJOS[[#Headers],[N_Pb]]),IF(T_D_FIJOS[[#This Row],[IMPRIMIR]]="",0,COUNTA(INDIRECT("$AH$5:AH"&amp;ROW()))))</f>
        <v>2</v>
      </c>
    </row>
    <row r="7" spans="1:39" ht="28.7" x14ac:dyDescent="0.5">
      <c r="A7" s="277">
        <f>ROW()-ROW(T_D_FIJOS[[#Headers],[Nº]])</f>
        <v>3</v>
      </c>
      <c r="B7" s="308" t="s">
        <v>324</v>
      </c>
      <c r="C7" s="28">
        <v>3</v>
      </c>
      <c r="D7" s="321">
        <v>60</v>
      </c>
      <c r="E7" s="28">
        <v>80</v>
      </c>
      <c r="F7" s="266" t="s">
        <v>64</v>
      </c>
      <c r="G7" s="28" t="s">
        <v>65</v>
      </c>
      <c r="H7" s="5" t="s">
        <v>70</v>
      </c>
      <c r="I7" s="28" t="s">
        <v>65</v>
      </c>
      <c r="J7" s="5">
        <v>235</v>
      </c>
      <c r="K7" s="5">
        <v>3</v>
      </c>
      <c r="L7" s="5">
        <v>-100</v>
      </c>
      <c r="M7" s="5">
        <v>-150</v>
      </c>
      <c r="N7" s="5">
        <v>0</v>
      </c>
      <c r="O7" s="5">
        <v>0</v>
      </c>
      <c r="P7" s="5">
        <v>0</v>
      </c>
      <c r="Q7" s="5">
        <v>150</v>
      </c>
      <c r="R7" s="5">
        <v>100</v>
      </c>
      <c r="S7" s="5">
        <v>0</v>
      </c>
      <c r="T7" s="5">
        <v>-50</v>
      </c>
      <c r="U7" s="5">
        <v>0</v>
      </c>
      <c r="V7" s="137">
        <v>-536.6</v>
      </c>
      <c r="W7" s="137">
        <v>786.6</v>
      </c>
      <c r="X7" s="137">
        <v>-200</v>
      </c>
      <c r="Y7" s="137">
        <v>115.47005383792516</v>
      </c>
      <c r="Z7" s="137">
        <v>-207.7350269189626</v>
      </c>
      <c r="AA7" s="137">
        <v>619.61230889430647</v>
      </c>
      <c r="AB7" s="137">
        <v>-509.80615444715329</v>
      </c>
      <c r="AC7" s="137">
        <v>-115.47005383792516</v>
      </c>
      <c r="AD7" s="137">
        <v>165.47005383792521</v>
      </c>
      <c r="AE7" s="137">
        <v>288.6751345948129</v>
      </c>
      <c r="AF7" s="29">
        <v>80</v>
      </c>
      <c r="AG7" s="28"/>
      <c r="AH7" s="278"/>
      <c r="AI7" s="276">
        <f ca="1">IF(Imp_OK=_OK,ROW()-ROW(T_D_FIJOS[[#Headers],[N_Pb]]),IF(T_D_FIJOS[[#This Row],[IMPRIMIR]]="",0,COUNTA(INDIRECT("$AH$5:AH"&amp;ROW()))))</f>
        <v>3</v>
      </c>
    </row>
    <row r="8" spans="1:39" ht="28.7" x14ac:dyDescent="0.5">
      <c r="A8" s="277">
        <f>ROW()-ROW(T_D_FIJOS[[#Headers],[Nº]])</f>
        <v>4</v>
      </c>
      <c r="B8" s="308" t="s">
        <v>325</v>
      </c>
      <c r="C8" s="28">
        <v>1</v>
      </c>
      <c r="D8" s="321">
        <v>60</v>
      </c>
      <c r="E8" s="28">
        <v>20</v>
      </c>
      <c r="F8" s="266" t="s">
        <v>57</v>
      </c>
      <c r="G8" s="28" t="s">
        <v>68</v>
      </c>
      <c r="H8" s="5" t="s">
        <v>56</v>
      </c>
      <c r="I8" s="28" t="s">
        <v>68</v>
      </c>
      <c r="J8" s="5">
        <v>355</v>
      </c>
      <c r="K8" s="5">
        <v>3</v>
      </c>
      <c r="L8" s="5">
        <v>200</v>
      </c>
      <c r="M8" s="5">
        <v>0</v>
      </c>
      <c r="N8" s="5">
        <v>200</v>
      </c>
      <c r="O8" s="5">
        <v>0</v>
      </c>
      <c r="P8" s="5">
        <v>250</v>
      </c>
      <c r="Q8" s="5">
        <v>50</v>
      </c>
      <c r="R8" s="5">
        <v>0</v>
      </c>
      <c r="S8" s="5">
        <v>50</v>
      </c>
      <c r="T8" s="5">
        <v>0</v>
      </c>
      <c r="U8" s="5">
        <v>-100</v>
      </c>
      <c r="V8" s="137">
        <v>423.21</v>
      </c>
      <c r="W8" s="137">
        <v>-1073.21</v>
      </c>
      <c r="X8" s="137">
        <v>0</v>
      </c>
      <c r="Y8" s="137">
        <v>-230.94010767585033</v>
      </c>
      <c r="Z8" s="137">
        <v>65.470053837925192</v>
      </c>
      <c r="AA8" s="137">
        <v>-230.94010767585033</v>
      </c>
      <c r="AB8" s="137">
        <v>165.47005383792521</v>
      </c>
      <c r="AC8" s="137">
        <v>719.62092252333343</v>
      </c>
      <c r="AD8" s="137">
        <v>-475.28051509959198</v>
      </c>
      <c r="AE8" s="137">
        <v>519.6152422706632</v>
      </c>
      <c r="AF8" s="29">
        <v>55</v>
      </c>
      <c r="AG8" s="28"/>
      <c r="AH8" s="278"/>
      <c r="AI8" s="276">
        <f ca="1">IF(Imp_OK=_OK,ROW()-ROW(T_D_FIJOS[[#Headers],[N_Pb]]),IF(T_D_FIJOS[[#This Row],[IMPRIMIR]]="",0,COUNTA(INDIRECT("$AH$5:AH"&amp;ROW()))))</f>
        <v>4</v>
      </c>
    </row>
  </sheetData>
  <sheetProtection algorithmName="SHA-512" hashValue="RLMSvMJoMQJl6l/Bw0QckXkxE20EPiiuqQ1tMgFN9bVctkIGdvNhjct/IQB5nPVzbAzwHPxya+R9vlgwCuhxoA==" saltValue="3rJ41UEwlpE80YGGWxzu1w==" spinCount="100000" sheet="1" objects="1" scenarios="1" formatColumns="0" selectLockedCells="1" sort="0" autoFilter="0"/>
  <phoneticPr fontId="27" type="noConversion"/>
  <conditionalFormatting sqref="C5:K8">
    <cfRule type="cellIs" dxfId="5" priority="17" operator="equal">
      <formula>""</formula>
    </cfRule>
  </conditionalFormatting>
  <conditionalFormatting sqref="V1:AF1">
    <cfRule type="expression" dxfId="4" priority="20">
      <formula>D_Fijos=_OK</formula>
    </cfRule>
  </conditionalFormatting>
  <conditionalFormatting sqref="B5:B8">
    <cfRule type="duplicateValues" dxfId="0" priority="1032"/>
  </conditionalFormatting>
  <dataValidations count="1">
    <dataValidation type="list" allowBlank="1" showInputMessage="1" showErrorMessage="1" sqref="AK4" xr:uid="{6CFD0AEF-0452-41F9-AC21-F0ED0423EECD}">
      <formula1>SI_NO</formula1>
    </dataValidation>
  </dataValidations>
  <printOptions horizontalCentered="1"/>
  <pageMargins left="0.39370078740157483" right="0.39370078740157483" top="0.39370078740157483" bottom="0.39370078740157483" header="0.19685039370078741" footer="0.39370078740157483"/>
  <pageSetup paperSize="9" fitToHeight="100" orientation="landscape" r:id="rId1"/>
  <headerFooter>
    <oddHeader>&amp;C&amp;"-,Negrita"&amp;A</oddHeader>
    <oddFooter>&amp;CElaborado por Milagros Huerta GM (UCA)&amp;R&amp;P / &amp;N</oddFooter>
  </headerFooter>
  <drawing r:id="rId2"/>
  <legacyDrawing r:id="rId3"/>
  <tableParts count="1">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published="0" codeName="d_Resultados_FTP">
    <tabColor rgb="FF005877"/>
  </sheetPr>
  <dimension ref="A1:K45"/>
  <sheetViews>
    <sheetView showGridLines="0" showRowColHeaders="0" zoomScale="86" zoomScaleNormal="85" workbookViewId="0">
      <pane xSplit="5" ySplit="3" topLeftCell="F4" activePane="bottomRight" state="frozen"/>
      <selection pane="topRight" activeCell="E1" sqref="E1"/>
      <selection pane="bottomLeft" activeCell="A4" sqref="A4"/>
      <selection pane="bottomRight" activeCell="E4" sqref="E4"/>
    </sheetView>
  </sheetViews>
  <sheetFormatPr baseColWidth="10" defaultColWidth="0" defaultRowHeight="14.35" zeroHeight="1" outlineLevelRow="1" x14ac:dyDescent="0.5"/>
  <cols>
    <col min="1" max="1" width="8.703125" customWidth="1"/>
    <col min="2" max="2" width="114.52734375" customWidth="1"/>
    <col min="3" max="3" width="2.52734375" customWidth="1"/>
    <col min="4" max="4" width="3.41015625" customWidth="1"/>
    <col min="5" max="5" width="8.1171875" bestFit="1" customWidth="1"/>
    <col min="6" max="9" width="12.64453125" customWidth="1"/>
    <col min="10" max="10" width="15" customWidth="1"/>
    <col min="11" max="11" width="1.87890625" customWidth="1"/>
    <col min="12" max="16384" width="10.8203125" hidden="1"/>
  </cols>
  <sheetData>
    <row r="1" spans="1:10" ht="29.35" thickTop="1" thickBot="1" x14ac:dyDescent="0.55000000000000004">
      <c r="A1" s="254" t="s">
        <v>262</v>
      </c>
      <c r="B1" s="270" t="str">
        <f>IFERROR(VLOOKUP(C1,T_D_IMAGENES[],COLUMNS(T_D_IMAGENES[]),0),"")</f>
        <v>&lt;img src="https://i.ibb.co/Ssb0PNT/Cercha-Tipo-1.png" width="" height="200"&gt;</v>
      </c>
      <c r="C1" s="441" t="s">
        <v>209</v>
      </c>
      <c r="D1" s="441"/>
      <c r="E1" s="441"/>
      <c r="F1" s="247" t="s">
        <v>246</v>
      </c>
      <c r="G1" s="247" t="s">
        <v>247</v>
      </c>
      <c r="H1" s="247" t="s">
        <v>248</v>
      </c>
      <c r="I1" s="247" t="s">
        <v>249</v>
      </c>
    </row>
    <row r="2" spans="1:10" ht="43" customHeight="1" thickTop="1" x14ac:dyDescent="0.5">
      <c r="A2" s="251" t="str">
        <f>"Datos Fijos: "&amp;D_Fijos</f>
        <v>Datos Fijos: Sí</v>
      </c>
      <c r="B2" s="442" t="str" cm="1">
        <f t="array" aca="1" ref="B2" ca="1">IFERROR(Enunciado&amp;" 
"&amp;CONCATENATE(Pregunta_1_FTP,Pregunta_2_FTP,Pregunta_3_FTP,Pregunta_4_FTP),"MAL")</f>
        <v xml:space="preserve">La cercha de la figura (no está a escala) tiene un apoyo fijo en el nudo C, que no permite desplazamiento ni horizontal ni vertical, y un apoyo móvil en el nudo B, que permite desplazamiento horizontal. Las dimensiones de la cercha son: L = 4 m y h = 1,155 m.
Las cargas puntuales aplicadas en los nudos son:
   - VERTICALES:  Pv A = 100 kN ↑; Pv D = 100 kN ↑; Pv E = 150 kN ↓;
   - HORIZONTALES:  Ph A = 50 kN ←; Ph D = 100 kN →; Ph E = 150 kN ←;
Se pide calcular:  
1) Las Reacciones en los apoyos (con dos decimales y en valor absoluto) y su dirección.[12 puntos]  
Apoyo Fijo: Nudo C&amp;emsp; 
- Rv = {3:NM:%100%210,57:1,05285#¡Muy bien!
   ~%95%210,57:4,2114#Bien, pero cuidado con los redondeos.
   ~%85%210,57:10,5285#Valor aproximado, pero no exacto.
   ~%-10%210,57:31057#Incorrecto, repasa los cálculos.} kN&amp;emsp;
 {1:MC:~%100% ↑ #¡Muy bien!~%-33% ↓ #Incorrecto, repasa los cálculos.~%-33% − #Incorrecto, repasa los cálculos.}&amp;emsp;
- Rh = {3:NM:%100%100:0,5#¡Muy bien!
   ~%95%100:2#Bien, pero cuidado con los redondeos.
   ~%85%100:5#Valor aproximado, pero no exacto.
   ~%-10%100:20000#Incorrecto, repasa los cálculos.} kN&amp;emsp;
 {1:MC:~%100% → #¡Muy bien!~%-33% ← #Incorrecto, repasa los cálculos.~%-33% − #Incorrecto, repasa los cálculos.} 
Apoyo Móvil: Nudo B&amp;emsp; 
- Rv = {3:NM:%100%260,57:1,30285#¡Muy bien!
 ~%95%260,57:5,2114#Bien, pero cuidado con los redondeos.
 ~%85%260,57:13,0285#Valor aproximado, pero no exacto.
 ~%-10%260,57:36057#Incorrecto, repasa los cálculos.} kN&amp;emsp; 
 {1:MC:~%-33% ↑ #Incorrecto, repasa los cálculos.~%100% ↓ #¡Muy bien!~%-33% − #Incorrecto, repasa los cálculos.} 
2) Los esfuerzos a los que está sometida cada barra (con dos decimales y en valor absoluto). [28 puntos]&amp;emsp; 
- Barra AD {3:NM:%100%200:1#¡Muy bien!
    ~%95%200:4#Bien, pero cuidado con los redondeos.
    ~%85%200:10#Valor aproximado, pero no exacto.
    ~%-10%200:30000#Incorrecto, repasa los cálculos.}&amp;emsp;kN&amp;emsp; 
 {1:MC:~%-33% ← → #Incorrecto, repasa los cálculos.~%100% → ← #¡Muy bien!~%-33% − #Incorrecto, repasa los cálculos.}&amp;emsp; 
- Barra AB {3:NM:%100%223,21:1,11605#¡Muy bien!
    ~%95%223,21:4,4642#Bien, pero cuidado con los redondeos.
    ~%85%223,21:11,1605#Valor aproximado, pero no exacto.
    ~%-10%223,21:32321#Incorrecto, repasa los cálculos.}&amp;emsp;kN&amp;emsp; 
 {1:MC:~%100% ← → #¡Muy bien!~%-33% → ← #Incorrecto, repasa los cálculos.~%-33% − #Incorrecto, repasa los cálculos.}&amp;emsp; 
- Barra DB {3:NM:%100%400:2#¡Muy bien!
    ~%95%400:8#Bien, pero cuidado con los redondeos.
    ~%85%400:20#Valor aproximado, pero no exacto.
    ~%-10%400:50000#Incorrecto, repasa los cálculos.}&amp;emsp;kN&amp;emsp; 
 {1:MC:~%100% ← → #¡Muy bien!~%-33% → ← #Incorrecto, repasa los cálculos.~%-33% − #Incorrecto, repasa los cálculos.}&amp;emsp; 
- Barra DE {3:NM:%100%619,62:3,0981#¡Muy bien!
    ~%95%619,62:12,3924#Bien, pero cuidado con los redondeos.
    ~%85%619,62:30,981#Valor aproximado, pero no exacto.
    ~%-10%619,62:71962#Incorrecto, repasa los cálculos.}&amp;emsp;kN&amp;emsp; 
 {1:MC:~%-33% ← → #Incorrecto, repasa los cálculos.~%100% → ← #¡Muy bien!~%-33% − #Incorrecto, repasa los cálculos.}&amp;emsp; 
- Barra BE {3:NM:%100%121,14:0,6057#¡Muy bien!
    ~%95%121,14:2,4228#Bien, pero cuidado con los redondeos.
    ~%85%121,14:6,057#Valor aproximado, pero no exacto.
    ~%-10%121,14:22114#Incorrecto, repasa los cálculos.}&amp;emsp;kN&amp;emsp; 
 {1:MC:~%100% ← → #¡Muy bien!~%-33% → ← #Incorrecto, repasa los cálculos.~%-33% − #Incorrecto, repasa los cálculos.}&amp;emsp; 
- Barra CE {3:NM:%100%421,14:2,1057#¡Muy bien!
    ~%95%421,14:8,4228#Bien, pero cuidado con los redondeos.
    ~%85%421,14:21,057#Valor aproximado, pero no exacto.
    ~%-10%421,14:52114#Incorrecto, repasa los cálculos.}&amp;emsp;kN&amp;emsp; 
 {1:MC:~%-33% ← → #Incorrecto, repasa los cálculos.~%100% → ← #¡Muy bien!~%-33% − #Incorrecto, repasa los cálculos.}&amp;emsp; 
- Barra CB {3:NM:%100%464,72:2,3236#¡Muy bien!
    ~%95%464,72:9,2944#Bien, pero cuidado con los redondeos.
    ~%85%464,72:23,236#Valor aproximado, pero no exacto.
    ~%-10%464,72:56472#Incorrecto, repasa los cálculos.}&amp;emsp;kN&amp;emsp; 
 {1:MC:~%100% ← → #¡Muy bien!~%-33% → ← #Incorrecto, repasa los cálculos.~%-33% − #Incorrecto, repasa los cálculos.}&amp;emsp; 
3) La tensión máxima de la estructura (con un decimal, en valor absoluto), sin tener en cuenta la esbeltez, si toda las barras tienen de sección un redondo macizo, de diámetro d =60 mm. [10 puntos]&amp;emsp;&amp;emsp;&amp;emsp;&amp;emsp;&amp;emsp;&amp;emsp;&amp;emsp;&amp;emsp; 
σ &lt;sub&gt;max&lt;/sub&gt; = {10:NM:%100%219,1:1,0955#¡Muy bien!
                                 ~%95%219,1:6,573#Bien, pero cuidado con los redondeos.
                                 ~%85%219,1:13,146#Valor aproximado, pero no exacto.
                                 ~%-10%219,1:31910#Incorrecto, repasa los cálculos.} MPa  
4) El diámetro mínimo (d) necesario (para todas las barras igual, en mm y sin decimales), teniendo en cuenta la esbeltez, para que no falle ninguna barra. El material es de acero S235 y el coeficiente de imperfección es tipo c. 
Para resolver la pregunta paso a paso, completa los siguientes apartados:&amp;emsp; 
a) El diámetro propuesto, d = 60 mm, 
{10:MC:~%-33%Sí#Incorrecto, repasa los cálculos.~%100%No#¡Muy bien!} 
es válido para que ninguna de las barras de la cercha falle por esbeltez. [10 puntos]&amp;emsp; 
b) El diámetro mínimo (sin decimales) que se podría poner por esbeltez es: 
d&lt;sub&gt;min&lt;/sub&gt;=  {10:NM:%100%64:0#¡Muy bien!
                               ~%85%64:1#Valor aproximado, pero no exacto.
                               ~%-10%64:6400#Incorrecto, repasa los cálculos.} mm. [10 puntos]&amp;emsp; 
c) Para el diámetro obtenido en el apartado (b), el valor máximo de la esbeltez (sin decimales) es: 
λ&lt;sub&gt;max&lt;/sub&gt;= {3:NM:%100%250:0#¡Muy bien!
                ~%85%250:1#Valor aproximado, pero no exacto.
                ~%-10%250:25000#Incorrecto, repasa los cálculos.}.  [3 puntos]&amp;emsp; 
d) Para el diámetro calculado en el apartado (b), la tensión máxima (con un decimal) a la que estaría sometida la cercha es: 
σ &lt;sub&gt;max&lt;/sub&gt; = {10:NM:%100%1627,5:8,1375#¡Muy bien!
                               ~%95%1627,5:32,55#Bien, pero cuidado con los redondeos.
                               ~%85%1627,5:81,375#Valor aproximado, pero no exacto.
                               ~%-10%1627,5:162750#Incorrecto, repasa los cálculos.} MPa. [10 puntos]&amp;emsp; 
e) Teniendo en cuenta TODO, el diámetro mínimo (sin decimales), que se debe poner para que la cercha sea válida es:
d&lt;sub&gt;min&lt;/sub&gt; (def.) =  {15:NM:%100%108:0#¡Muy bien!
                                     ~%85%108:1#Valor aproximado, pero no exacto.
                                     ~%-10%108:10800#Incorrecto, repasa los cálculos.} mm. [15 puntos]&amp;emsp; 
f) El coeficiente de seguridad (&gt;1 y con 2 decimales) es: 
n = {2:NM:%100%1:0,005#¡Muy bien!
                ~%95%1:0,02#Bien, pero cuidado con los redondeos.
                ~%85%1:0,05#Valor aproximado, pero no exacto.
                ~%-10%1:100#Incorrecto, repasa los cálculos.}. [2 puntos]  
</v>
      </c>
      <c r="C2" s="246"/>
      <c r="D2" s="246"/>
      <c r="E2" s="246"/>
      <c r="F2" s="248" t="s">
        <v>250</v>
      </c>
      <c r="G2" s="248" t="s">
        <v>251</v>
      </c>
      <c r="H2" s="248" t="s">
        <v>252</v>
      </c>
      <c r="I2" s="248" t="s">
        <v>253</v>
      </c>
      <c r="J2" s="252" t="s">
        <v>260</v>
      </c>
    </row>
    <row r="3" spans="1:10" ht="45.35" customHeight="1" thickBot="1" x14ac:dyDescent="0.55000000000000004">
      <c r="A3" s="251" t="str">
        <f>"Salto: 
"&amp;Salto</f>
        <v xml:space="preserve">Salto: 
</v>
      </c>
      <c r="B3" s="442"/>
      <c r="C3" s="246"/>
      <c r="D3" s="246"/>
      <c r="E3" s="250" t="s">
        <v>261</v>
      </c>
      <c r="F3" s="249" t="s">
        <v>254</v>
      </c>
      <c r="G3" s="249" t="s">
        <v>255</v>
      </c>
      <c r="H3" s="249" t="s">
        <v>256</v>
      </c>
      <c r="I3" s="249" t="s">
        <v>257</v>
      </c>
      <c r="J3" s="252" t="s">
        <v>259</v>
      </c>
    </row>
    <row r="4" spans="1:10" ht="14.7" thickBot="1" x14ac:dyDescent="0.55000000000000004">
      <c r="A4" s="296" t="s">
        <v>336</v>
      </c>
      <c r="B4" s="240" t="str">
        <f>Preg_1&amp;"["&amp;SUM(E4:E5)*3&amp;" puntos] "&amp;Salto</f>
        <v xml:space="preserve">1) Las Reacciones en los apoyos (con dos decimales y en valor absoluto) y su dirección.[12 puntos] </v>
      </c>
      <c r="C4" s="138" t="s">
        <v>244</v>
      </c>
      <c r="D4" s="268" t="s">
        <v>279</v>
      </c>
      <c r="E4" s="301">
        <v>3</v>
      </c>
      <c r="F4" s="302">
        <v>5.0000000000000001E-3</v>
      </c>
      <c r="G4" s="302">
        <v>0.02</v>
      </c>
      <c r="H4" s="302">
        <v>0.05</v>
      </c>
      <c r="I4" s="303">
        <v>100</v>
      </c>
      <c r="J4" s="253" t="s">
        <v>258</v>
      </c>
    </row>
    <row r="5" spans="1:10" ht="14.7" outlineLevel="1" thickBot="1" x14ac:dyDescent="0.55000000000000004">
      <c r="B5" s="153" t="str">
        <f>"Apoyo Fijo: Nudo "&amp;Ap_Fijo&amp;Salto&amp;Tab</f>
        <v>Apoyo Fijo: Nudo C&amp;emsp;</v>
      </c>
      <c r="C5" s="138" t="s">
        <v>244</v>
      </c>
      <c r="D5" s="268" t="s">
        <v>280</v>
      </c>
      <c r="E5" s="301">
        <v>1</v>
      </c>
      <c r="F5" s="118"/>
      <c r="G5" s="118"/>
      <c r="H5" s="118"/>
      <c r="I5" s="301">
        <v>-33</v>
      </c>
    </row>
    <row r="6" spans="1:10" ht="57.35" outlineLevel="1" x14ac:dyDescent="0.5">
      <c r="B6" s="153" t="str" cm="1">
        <f t="array" aca="1" ref="B6" ca="1">"- Rv = {"&amp;E4&amp;":NM:"
    &amp;$F$2&amp;ROUND(ABS(INDIRECT("Rv_"&amp;Ap_Fijo)),2)&amp;":"&amp;ROUND(ABS(INDIRECT("Rv_"&amp;Ap_Fijo)),2)*$F4&amp;"#"&amp;$F$3&amp;"
   "&amp;$G$2&amp;ROUND(ABS(INDIRECT("Rv_"&amp;Ap_Fijo)),2)&amp;":"&amp;ROUND(ABS(INDIRECT("Rv_"&amp;Ap_Fijo)),2)*$G4&amp;"#"&amp;$G$3&amp;"
   "&amp;$H$2&amp;ROUND(ABS(INDIRECT("Rv_"&amp;Ap_Fijo)),2)&amp;":"&amp;ROUND(ABS(INDIRECT("Rv_"&amp;Ap_Fijo)),2)*$H4&amp;"#"&amp;$H$3&amp;"
   "&amp;$I$2&amp;ROUND(ABS(INDIRECT("Rv_"&amp;Ap_Fijo)),2)&amp;":"&amp;ROUND(ABS(INDIRECT("Rv_"&amp;Ap_Fijo))+100,2)*$I4&amp;"#"&amp;$I$3&amp;"} kN"&amp;Tab</f>
        <v>- Rv = {3:NM:%100%210,57:1,05285#¡Muy bien!
   ~%95%210,57:4,2114#Bien, pero cuidado con los redondeos.
   ~%85%210,57:10,5285#Valor aproximado, pero no exacto.
   ~%-10%210,57:31057#Incorrecto, repasa los cálculos.} kN&amp;emsp;</v>
      </c>
      <c r="C6" s="138" t="s">
        <v>245</v>
      </c>
      <c r="D6" s="138"/>
    </row>
    <row r="7" spans="1:10" ht="17" customHeight="1" outlineLevel="1" x14ac:dyDescent="0.5">
      <c r="B7" s="153" t="str" cm="1">
        <f t="array" aca="1" ref="B7" ca="1">" {"&amp;$E$5&amp;":MC:~%"&amp;IF(INDIRECT("Rv_"&amp;Ap_Fijo)&gt;0,100&amp;"% "&amp;_Arriba&amp;" #"&amp;$F$3,$I$5&amp;"% "&amp;_Arriba&amp;" #"&amp;$I$3)&amp;"~%"&amp;
                    IF(INDIRECT("Rv_"&amp;Ap_Fijo)&lt;0,100&amp;"% "&amp;_Abajo &amp;" #"&amp;$F$3,$I$5&amp;"% "&amp;_Abajo &amp;" #"&amp;$I$3)&amp;"~%"&amp;
                    IF(INDIRECT("Rv_"&amp;Ap_Fijo)=0,100&amp;"% − #"          &amp;$F$3,$I$5&amp;"% − #"         &amp;$I$3)&amp;"}"&amp;Salto&amp;Tab</f>
        <v xml:space="preserve"> {1:MC:~%100% ↑ #¡Muy bien!~%-33% ↓ #Incorrecto, repasa los cálculos.~%-33% − #Incorrecto, repasa los cálculos.}&amp;emsp;</v>
      </c>
      <c r="C7" s="138" t="s">
        <v>245</v>
      </c>
      <c r="D7" s="138"/>
    </row>
    <row r="8" spans="1:10" ht="57.35" outlineLevel="1" x14ac:dyDescent="0.5">
      <c r="B8" s="153" t="str" cm="1">
        <f t="array" aca="1" ref="B8" ca="1">"- Rh = {"&amp;E4&amp;":NM:"
    &amp;$F$2&amp;ROUND(ABS(INDIRECT("Rh_"&amp;Ap_Fijo)),2)&amp;":"&amp;ROUND(ABS(INDIRECT("Rh_"&amp;Ap_Fijo)),2)*$F4&amp;"#"&amp;$F$3&amp;"
   "&amp;$G$2&amp;ROUND(ABS(INDIRECT("Rh_"&amp;Ap_Fijo)),2)&amp;":"&amp;ROUND(ABS(INDIRECT("Rh_"&amp;Ap_Fijo)),2)*$G4&amp;"#"&amp;$G$3&amp;"
   "&amp;$H$2&amp;ROUND(ABS(INDIRECT("Rh_"&amp;Ap_Fijo)),2)&amp;":"&amp;ROUND(ABS(INDIRECT("Rh_"&amp;Ap_Fijo)),2)*$H4&amp;"#"&amp;$H$3&amp;"
   "&amp;$I$2&amp;ROUND(ABS(INDIRECT("Rh_"&amp;Ap_Fijo)),2)&amp;":"&amp;ROUND(ABS(INDIRECT("Rh_"&amp;Ap_Fijo))+100,2)*$I4&amp;"#"&amp;$I$3&amp;"} kN"&amp;Tab</f>
        <v>- Rh = {3:NM:%100%100:0,5#¡Muy bien!
   ~%95%100:2#Bien, pero cuidado con los redondeos.
   ~%85%100:5#Valor aproximado, pero no exacto.
   ~%-10%100:20000#Incorrecto, repasa los cálculos.} kN&amp;emsp;</v>
      </c>
      <c r="C8" s="138" t="s">
        <v>245</v>
      </c>
      <c r="D8" s="138"/>
      <c r="E8" s="118"/>
      <c r="F8" s="118"/>
      <c r="G8" s="118"/>
      <c r="H8" s="118"/>
      <c r="I8" s="118"/>
      <c r="J8" s="7"/>
    </row>
    <row r="9" spans="1:10" ht="15" customHeight="1" outlineLevel="1" x14ac:dyDescent="0.5">
      <c r="B9" s="153" t="str" cm="1">
        <f t="array" aca="1" ref="B9" ca="1">" {"&amp;$E$5&amp;":MC:~%"&amp;IF(INDIRECT("Rh_"&amp;Ap_Fijo)&gt;0,100&amp;"% "&amp;_Derecha  &amp;" #"&amp;$F$3,$I$5&amp;"% "&amp;_Derecha  &amp;" #"&amp;$I$3)&amp;"~%"&amp;
                    IF(INDIRECT("Rh_"&amp;Ap_Fijo)&lt;0,100&amp;"% "&amp;_Izquierda&amp;" #"&amp;$F$3,$I$5&amp;"% "&amp;_Izquierda&amp;" #"&amp;$I$3)&amp;"~%"&amp;
                    IF(INDIRECT("Rh_"&amp;Ap_Fijo)=0,100&amp;"% − #"             &amp;$F$3,$I$5&amp;"% − #"            &amp;$I$3)&amp;"}"&amp;Salto</f>
        <v xml:space="preserve"> {1:MC:~%100% → #¡Muy bien!~%-33% ← #Incorrecto, repasa los cálculos.~%-33% − #Incorrecto, repasa los cálculos.}</v>
      </c>
      <c r="C9" s="138" t="s">
        <v>244</v>
      </c>
      <c r="D9" s="138"/>
      <c r="E9" s="118"/>
      <c r="F9" s="118"/>
      <c r="G9" s="118"/>
      <c r="H9" s="118"/>
      <c r="I9" s="118"/>
    </row>
    <row r="10" spans="1:10" outlineLevel="1" x14ac:dyDescent="0.5">
      <c r="B10" s="153" t="str">
        <f>"Apoyo Móvil: Nudo "&amp;Ap_Movil&amp;Salto&amp;Tab</f>
        <v>Apoyo Móvil: Nudo B&amp;emsp;</v>
      </c>
      <c r="C10" s="138" t="s">
        <v>244</v>
      </c>
      <c r="D10" s="138"/>
      <c r="E10" s="118"/>
      <c r="F10" s="118"/>
      <c r="G10" s="118"/>
      <c r="H10" s="118"/>
      <c r="I10" s="118"/>
    </row>
    <row r="11" spans="1:10" ht="57.35" outlineLevel="1" x14ac:dyDescent="0.5">
      <c r="B11" s="153" t="str" cm="1">
        <f t="array" aca="1" ref="B11" ca="1">"- Rv = {"&amp;E4&amp;":NM:"
  &amp;$F$2&amp;ROUND(ABS(INDIRECT("Rv_"&amp;Ap_Movil)),2)&amp;":"&amp;ROUND(ABS(INDIRECT("Rv_"&amp;Ap_Movil)),2)*$F4&amp;"#"&amp;$F$3&amp;"
 "&amp;$G$2&amp;ROUND(ABS(INDIRECT("Rv_"&amp;Ap_Movil)),2)&amp;":"&amp;ROUND(ABS(INDIRECT("Rv_"&amp;Ap_Movil)),2)*$G4&amp;"#"&amp;$G$3&amp;"
 "&amp;$H$2&amp;ROUND(ABS(INDIRECT("Rv_"&amp;Ap_Movil)),2)&amp;":"&amp;ROUND(ABS(INDIRECT("Rv_"&amp;Ap_Movil)),2)*$H4&amp;"#"&amp;$H$3&amp;"
 "&amp;$I$2&amp;ROUND(ABS(INDIRECT("Rv_"&amp;Ap_Movil)),2)&amp;":"&amp;ROUND(ABS(INDIRECT("Rv_"&amp;Ap_Movil))+100,2)*$I4&amp;"#"&amp;$I$3&amp;"} kN"&amp;Tab</f>
        <v>- Rv = {3:NM:%100%260,57:1,30285#¡Muy bien!
 ~%95%260,57:5,2114#Bien, pero cuidado con los redondeos.
 ~%85%260,57:13,0285#Valor aproximado, pero no exacto.
 ~%-10%260,57:36057#Incorrecto, repasa los cálculos.} kN&amp;emsp;</v>
      </c>
      <c r="C11" s="138" t="s">
        <v>244</v>
      </c>
      <c r="D11" s="138"/>
      <c r="E11" s="118"/>
      <c r="F11" s="118"/>
      <c r="G11" s="118"/>
      <c r="H11" s="118"/>
      <c r="I11" s="118"/>
    </row>
    <row r="12" spans="1:10" ht="15" customHeight="1" outlineLevel="1" thickBot="1" x14ac:dyDescent="0.55000000000000004">
      <c r="B12" s="153" t="str" cm="1">
        <f t="array" aca="1" ref="B12" ca="1">" {"&amp;E5&amp;":MC:~%"&amp;IF(INDIRECT("Rv_"&amp;Ap_Movil)&gt;0,100&amp;"% "&amp;_Arriba&amp;" #"&amp;$F$3,$I5&amp;"% "&amp;_Arriba&amp;" #"&amp;I3)&amp;"~%"&amp;
                  IF(INDIRECT("Rv_"&amp;Ap_Movil)&lt;0,100&amp;"% "&amp;_Abajo &amp;" #"&amp;$F$3,$I5&amp;"% "&amp;_Abajo &amp;" #"&amp;I3)&amp;"~%"&amp;
                  IF(INDIRECT("Rv_"&amp;Ap_Movil)=0,100&amp;"% − #"          &amp;$F$3,$I5&amp;"% − #"         &amp;$I$3)&amp;"}"&amp;Salto</f>
        <v xml:space="preserve"> {1:MC:~%-33% ↑ #Incorrecto, repasa los cálculos.~%100% ↓ #¡Muy bien!~%-33% − #Incorrecto, repasa los cálculos.}</v>
      </c>
      <c r="C12" s="138" t="s">
        <v>244</v>
      </c>
      <c r="D12" s="138"/>
      <c r="E12" s="118"/>
      <c r="F12" s="118"/>
      <c r="G12" s="118"/>
      <c r="H12" s="118"/>
      <c r="I12" s="118"/>
    </row>
    <row r="13" spans="1:10" ht="14.7" thickBot="1" x14ac:dyDescent="0.55000000000000004">
      <c r="B13" s="240" t="str">
        <f>Preg_2&amp;" ["&amp;SUM(E13:E14)*COUNTA(A14:A26)&amp;" puntos]"&amp;Salto&amp;Tab</f>
        <v>2) Los esfuerzos a los que está sometida cada barra (con dos decimales y en valor absoluto). [28 puntos]&amp;emsp;</v>
      </c>
      <c r="C13" s="138" t="s">
        <v>244</v>
      </c>
      <c r="D13" s="268" t="s">
        <v>279</v>
      </c>
      <c r="E13" s="301">
        <v>3</v>
      </c>
      <c r="F13" s="302">
        <v>5.0000000000000001E-3</v>
      </c>
      <c r="G13" s="302">
        <v>0.02</v>
      </c>
      <c r="H13" s="302">
        <v>0.05</v>
      </c>
      <c r="I13" s="303">
        <v>100</v>
      </c>
    </row>
    <row r="14" spans="1:10" ht="57.7" outlineLevel="1" thickBot="1" x14ac:dyDescent="0.55000000000000004">
      <c r="A14" s="121" t="s">
        <v>210</v>
      </c>
      <c r="B14" s="153" t="str" cm="1">
        <f t="array" aca="1" ref="B14" ca="1">"- Barra "&amp;A14&amp;" {"&amp;$E$13&amp;":NM:"&amp;
      $F$2&amp;ROUND(ABS(INDIRECT("T_"&amp;A14)),2)&amp;":"&amp;ROUND(ABS(INDIRECT("T_"&amp;A14)),2)*$F$13&amp;"#"&amp;$F$3&amp;"
    "&amp;$G$2&amp;ROUND(ABS(INDIRECT("T_"&amp;A14)),2)&amp;":"&amp;ROUND(ABS(INDIRECT("T_"&amp;A14)),2)*$G$13&amp;"#"&amp;$G$3&amp;"
    "&amp;$H$2&amp;ROUND(ABS(INDIRECT("T_"&amp;A14)),2)&amp;":"&amp;ROUND(ABS(INDIRECT("T_"&amp;A14)),2)*$H$13&amp;"#"&amp;$H$3&amp;"
    "&amp;$I$2&amp;ROUND(ABS(INDIRECT("T_"&amp;A14)),2)&amp;":"&amp;ROUND(ABS(INDIRECT("T_"&amp;A14))+100,2)*$I$13&amp;"#"&amp;$I$3&amp;"}"&amp;Tab&amp;"kN"&amp;Tab</f>
        <v>- Barra AD {3:NM:%100%200:1#¡Muy bien!
    ~%95%200:4#Bien, pero cuidado con los redondeos.
    ~%85%200:10#Valor aproximado, pero no exacto.
    ~%-10%200:30000#Incorrecto, repasa los cálculos.}&amp;emsp;kN&amp;emsp;</v>
      </c>
      <c r="C14" s="138" t="s">
        <v>244</v>
      </c>
      <c r="D14" s="121" t="s">
        <v>280</v>
      </c>
      <c r="E14" s="301">
        <v>1</v>
      </c>
      <c r="F14" s="118"/>
      <c r="G14" s="118"/>
      <c r="H14" s="118"/>
      <c r="I14" s="301">
        <v>-33</v>
      </c>
    </row>
    <row r="15" spans="1:10" ht="15" customHeight="1" outlineLevel="1" x14ac:dyDescent="0.5">
      <c r="B15" s="153" t="str" cm="1">
        <f t="array" aca="1" ref="B15" ca="1">" {"&amp;$E$14&amp;":MC:~%"&amp;IF(ROUND(INDIRECT("T_"&amp;A14),0)&gt;0,100&amp;"% "&amp;_Tracc&amp;" #"&amp;$F$3,$I$14&amp;"% "&amp;_Tracc&amp;" #"&amp;$I$3)&amp;
                "~%"&amp;IF(ROUND(INDIRECT("T_"&amp;A14),0)&lt;0,100&amp;"% "&amp;_Compr&amp;" #"&amp;$F$3,$I$14&amp;"% "&amp;_Compr&amp;" #"&amp;$I$3)&amp;
                "~%"&amp;IF(ROUND(INDIRECT("T_"&amp;A14),0)=0,100&amp;"% − #"         &amp;$F$3,$I$14&amp;"% − #"        &amp;$I$3)&amp;"}"&amp;Salto&amp;Tab</f>
        <v xml:space="preserve"> {1:MC:~%-33% ← → #Incorrecto, repasa los cálculos.~%100% → ← #¡Muy bien!~%-33% − #Incorrecto, repasa los cálculos.}&amp;emsp;</v>
      </c>
      <c r="C15" s="138" t="s">
        <v>244</v>
      </c>
      <c r="D15" s="121"/>
    </row>
    <row r="16" spans="1:10" ht="57.35" outlineLevel="1" x14ac:dyDescent="0.5">
      <c r="A16" s="121" t="s">
        <v>211</v>
      </c>
      <c r="B16" s="153" t="str" cm="1">
        <f t="array" aca="1" ref="B16" ca="1">"- Barra "&amp;A16&amp;" {"&amp;$E$13&amp;":NM:"&amp;
      $F$2&amp;ROUND(ABS(INDIRECT("T_"&amp;A16)),2)&amp;":"&amp;ROUND(ABS(INDIRECT("T_"&amp;A16)),2)*$F$13&amp;"#"&amp;$F$3&amp;"
    "&amp;$G$2&amp;ROUND(ABS(INDIRECT("T_"&amp;A16)),2)&amp;":"&amp;ROUND(ABS(INDIRECT("T_"&amp;A16)),2)*$G$13&amp;"#"&amp;$G$3&amp;"
    "&amp;$H$2&amp;ROUND(ABS(INDIRECT("T_"&amp;A16)),2)&amp;":"&amp;ROUND(ABS(INDIRECT("T_"&amp;A16)),2)*$H$13&amp;"#"&amp;$H$3&amp;"
    "&amp;$I$2&amp;ROUND(ABS(INDIRECT("T_"&amp;A16)),2)&amp;":"&amp;ROUND(ABS(INDIRECT("T_"&amp;A16))+100,2)*$I$13&amp;"#"&amp;$I$3&amp;"}"&amp;Tab&amp;"kN"&amp;Tab</f>
        <v>- Barra AB {3:NM:%100%223,21:1,11605#¡Muy bien!
    ~%95%223,21:4,4642#Bien, pero cuidado con los redondeos.
    ~%85%223,21:11,1605#Valor aproximado, pero no exacto.
    ~%-10%223,21:32321#Incorrecto, repasa los cálculos.}&amp;emsp;kN&amp;emsp;</v>
      </c>
      <c r="C16" s="138" t="s">
        <v>244</v>
      </c>
      <c r="D16" s="121"/>
      <c r="E16" s="118"/>
      <c r="F16" s="118"/>
      <c r="G16" s="118"/>
      <c r="H16" s="118"/>
      <c r="I16" s="118"/>
    </row>
    <row r="17" spans="1:10" ht="15" customHeight="1" outlineLevel="1" x14ac:dyDescent="0.5">
      <c r="B17" s="153" t="str" cm="1">
        <f t="array" aca="1" ref="B17" ca="1">" {"&amp;$E$14&amp;":MC:~%"&amp;IF(ROUND(INDIRECT("T_"&amp;A16),0)&gt;0,100&amp;"% "&amp;_Tracc&amp;" #"&amp;$F$3,$I$14&amp;"% "&amp;_Tracc&amp;" #"&amp;$I$3)&amp;
                "~%"&amp;IF(ROUND(INDIRECT("T_"&amp;A16),0)&lt;0,100&amp;"% "&amp;_Compr&amp;" #"&amp;$F$3,$I$14&amp;"% "&amp;_Compr&amp;" #"&amp;$I$3)&amp;
                "~%"&amp;IF(ROUND(INDIRECT("T_"&amp;A16),0)=0,100&amp;"% − #"         &amp;$F$3,$I$14&amp;"% − #"        &amp;$I$3)&amp;"}"&amp;Salto&amp;Tab</f>
        <v xml:space="preserve"> {1:MC:~%100% ← → #¡Muy bien!~%-33% → ← #Incorrecto, repasa los cálculos.~%-33% − #Incorrecto, repasa los cálculos.}&amp;emsp;</v>
      </c>
      <c r="C17" s="138" t="s">
        <v>244</v>
      </c>
      <c r="D17" s="121"/>
      <c r="E17" s="118"/>
      <c r="F17" s="118"/>
      <c r="G17" s="118"/>
      <c r="H17" s="118"/>
      <c r="I17" s="118"/>
    </row>
    <row r="18" spans="1:10" ht="57.35" outlineLevel="1" x14ac:dyDescent="0.5">
      <c r="A18" s="121" t="s">
        <v>212</v>
      </c>
      <c r="B18" s="153" t="str" cm="1">
        <f t="array" aca="1" ref="B18" ca="1">"- Barra "&amp;A18&amp;" {"&amp;$E$13&amp;":NM:"&amp;
      $F$2&amp;ROUND(ABS(INDIRECT("T_"&amp;A18)),2)&amp;":"&amp;ROUND(ABS(INDIRECT("T_"&amp;A18)),2)*$F$13&amp;"#"&amp;$F$3&amp;"
    "&amp;$G$2&amp;ROUND(ABS(INDIRECT("T_"&amp;A18)),2)&amp;":"&amp;ROUND(ABS(INDIRECT("T_"&amp;A18)),2)*$G$13&amp;"#"&amp;$G$3&amp;"
    "&amp;$H$2&amp;ROUND(ABS(INDIRECT("T_"&amp;A18)),2)&amp;":"&amp;ROUND(ABS(INDIRECT("T_"&amp;A18)),2)*$H$13&amp;"#"&amp;$H$3&amp;"
    "&amp;$I$2&amp;ROUND(ABS(INDIRECT("T_"&amp;A18)),2)&amp;":"&amp;ROUND(ABS(INDIRECT("T_"&amp;A18))+100,2)*$I$13&amp;"#"&amp;$I$3&amp;"}"&amp;Tab&amp;"kN"&amp;Tab</f>
        <v>- Barra DB {3:NM:%100%400:2#¡Muy bien!
    ~%95%400:8#Bien, pero cuidado con los redondeos.
    ~%85%400:20#Valor aproximado, pero no exacto.
    ~%-10%400:50000#Incorrecto, repasa los cálculos.}&amp;emsp;kN&amp;emsp;</v>
      </c>
      <c r="C18" s="138" t="s">
        <v>244</v>
      </c>
      <c r="D18" s="121"/>
      <c r="E18" s="118"/>
      <c r="F18" s="118"/>
      <c r="G18" s="118"/>
      <c r="H18" s="118"/>
      <c r="I18" s="118"/>
    </row>
    <row r="19" spans="1:10" ht="15" customHeight="1" outlineLevel="1" x14ac:dyDescent="0.5">
      <c r="B19" s="153" t="str" cm="1">
        <f t="array" aca="1" ref="B19" ca="1">" {"&amp;$E$14&amp;":MC:~%"&amp;IF(ROUND(INDIRECT("T_"&amp;A18),0)&gt;0,100&amp;"% "&amp;_Tracc&amp;" #"&amp;$F$3,$I$14&amp;"% "&amp;_Tracc&amp;" #"&amp;$I$3)&amp;
                "~%"&amp;IF(ROUND(INDIRECT("T_"&amp;A18),0)&lt;0,100&amp;"% "&amp;_Compr&amp;" #"&amp;$F$3,$I$14&amp;"% "&amp;_Compr&amp;" #"&amp;$I$3)&amp;
                "~%"&amp;IF(ROUND(INDIRECT("T_"&amp;A18),0)=0,100&amp;"% − #"         &amp;$F$3,$I$14&amp;"% − #"        &amp;$I$3)&amp;"}"&amp;Salto&amp;Tab</f>
        <v xml:space="preserve"> {1:MC:~%100% ← → #¡Muy bien!~%-33% → ← #Incorrecto, repasa los cálculos.~%-33% − #Incorrecto, repasa los cálculos.}&amp;emsp;</v>
      </c>
      <c r="C19" s="138" t="s">
        <v>244</v>
      </c>
      <c r="D19" s="121"/>
      <c r="E19" s="118"/>
      <c r="F19" s="118"/>
      <c r="G19" s="118"/>
      <c r="H19" s="118"/>
      <c r="I19" s="118"/>
    </row>
    <row r="20" spans="1:10" ht="57.35" outlineLevel="1" x14ac:dyDescent="0.5">
      <c r="A20" s="121" t="s">
        <v>213</v>
      </c>
      <c r="B20" s="153" t="str" cm="1">
        <f t="array" aca="1" ref="B20" ca="1">"- Barra "&amp;A20&amp;" {"&amp;$E$13&amp;":NM:"&amp;
      $F$2&amp;ROUND(ABS(INDIRECT("T_"&amp;A20)),2)&amp;":"&amp;ROUND(ABS(INDIRECT("T_"&amp;A20)),2)*$F$13&amp;"#"&amp;$F$3&amp;"
    "&amp;$G$2&amp;ROUND(ABS(INDIRECT("T_"&amp;A20)),2)&amp;":"&amp;ROUND(ABS(INDIRECT("T_"&amp;A20)),2)*$G$13&amp;"#"&amp;$G$3&amp;"
    "&amp;$H$2&amp;ROUND(ABS(INDIRECT("T_"&amp;A20)),2)&amp;":"&amp;ROUND(ABS(INDIRECT("T_"&amp;A20)),2)*$H$13&amp;"#"&amp;$H$3&amp;"
    "&amp;$I$2&amp;ROUND(ABS(INDIRECT("T_"&amp;A20)),2)&amp;":"&amp;ROUND(ABS(INDIRECT("T_"&amp;A20))+100,2)*$I$13&amp;"#"&amp;$I$3&amp;"}"&amp;Tab&amp;"kN"&amp;Tab</f>
        <v>- Barra DE {3:NM:%100%619,62:3,0981#¡Muy bien!
    ~%95%619,62:12,3924#Bien, pero cuidado con los redondeos.
    ~%85%619,62:30,981#Valor aproximado, pero no exacto.
    ~%-10%619,62:71962#Incorrecto, repasa los cálculos.}&amp;emsp;kN&amp;emsp;</v>
      </c>
      <c r="C20" s="138" t="s">
        <v>244</v>
      </c>
      <c r="D20" s="121"/>
      <c r="E20" s="118"/>
      <c r="F20" s="118"/>
      <c r="G20" s="118"/>
      <c r="H20" s="118"/>
      <c r="I20" s="118"/>
    </row>
    <row r="21" spans="1:10" ht="15" customHeight="1" outlineLevel="1" x14ac:dyDescent="0.5">
      <c r="B21" s="153" t="str" cm="1">
        <f t="array" aca="1" ref="B21" ca="1">" {"&amp;$E$14&amp;":MC:~%"&amp;IF(ROUND(INDIRECT("T_"&amp;A20),0)&gt;0,100&amp;"% "&amp;_Tracc&amp;" #"&amp;$F$3,$I$14&amp;"% "&amp;_Tracc&amp;" #"&amp;$I$3)&amp;
                "~%"&amp;IF(ROUND(INDIRECT("T_"&amp;A20),0)&lt;0,100&amp;"% "&amp;_Compr&amp;" #"&amp;$F$3,$I$14&amp;"% "&amp;_Compr&amp;" #"&amp;$I$3)&amp;
                "~%"&amp;IF(ROUND(INDIRECT("T_"&amp;A20),0)=0,100&amp;"% − #"         &amp;$F$3,$I$14&amp;"% − #"        &amp;$I$3)&amp;"}"&amp;Salto&amp;Tab</f>
        <v xml:space="preserve"> {1:MC:~%-33% ← → #Incorrecto, repasa los cálculos.~%100% → ← #¡Muy bien!~%-33% − #Incorrecto, repasa los cálculos.}&amp;emsp;</v>
      </c>
      <c r="C21" s="138" t="s">
        <v>244</v>
      </c>
      <c r="D21" s="121"/>
      <c r="E21" s="118"/>
      <c r="F21" s="118"/>
      <c r="G21" s="118"/>
      <c r="H21" s="118"/>
      <c r="I21" s="118"/>
    </row>
    <row r="22" spans="1:10" ht="57.35" outlineLevel="1" x14ac:dyDescent="0.5">
      <c r="A22" s="121" t="s">
        <v>214</v>
      </c>
      <c r="B22" s="153" t="str" cm="1">
        <f t="array" aca="1" ref="B22" ca="1">"- Barra "&amp;A22&amp;" {"&amp;$E$13&amp;":NM:"&amp;
      $F$2&amp;ROUND(ABS(INDIRECT("T_"&amp;A22)),2)&amp;":"&amp;ROUND(ABS(INDIRECT("T_"&amp;A22)),2)*$F$13&amp;"#"&amp;$F$3&amp;"
    "&amp;$G$2&amp;ROUND(ABS(INDIRECT("T_"&amp;A22)),2)&amp;":"&amp;ROUND(ABS(INDIRECT("T_"&amp;A22)),2)*$G$13&amp;"#"&amp;$G$3&amp;"
    "&amp;$H$2&amp;ROUND(ABS(INDIRECT("T_"&amp;A22)),2)&amp;":"&amp;ROUND(ABS(INDIRECT("T_"&amp;A22)),2)*$H$13&amp;"#"&amp;$H$3&amp;"
    "&amp;$I$2&amp;ROUND(ABS(INDIRECT("T_"&amp;A22)),2)&amp;":"&amp;ROUND(ABS(INDIRECT("T_"&amp;A22))+100,2)*$I$13&amp;"#"&amp;$I$3&amp;"}"&amp;Tab&amp;"kN"&amp;Tab</f>
        <v>- Barra BE {3:NM:%100%121,14:0,6057#¡Muy bien!
    ~%95%121,14:2,4228#Bien, pero cuidado con los redondeos.
    ~%85%121,14:6,057#Valor aproximado, pero no exacto.
    ~%-10%121,14:22114#Incorrecto, repasa los cálculos.}&amp;emsp;kN&amp;emsp;</v>
      </c>
      <c r="C22" s="138" t="s">
        <v>244</v>
      </c>
      <c r="D22" s="121"/>
      <c r="E22" s="118"/>
      <c r="F22" s="118"/>
      <c r="G22" s="118"/>
      <c r="H22" s="118"/>
      <c r="I22" s="118"/>
    </row>
    <row r="23" spans="1:10" ht="15" customHeight="1" outlineLevel="1" x14ac:dyDescent="0.5">
      <c r="B23" s="153" t="str" cm="1">
        <f t="array" aca="1" ref="B23" ca="1">" {"&amp;$E$14&amp;":MC:~%"&amp;IF(ROUND(INDIRECT("T_"&amp;A22),0)&gt;0,100&amp;"% "&amp;_Tracc&amp;" #"&amp;$F$3,$I$14&amp;"% "&amp;_Tracc&amp;" #"&amp;$I$3)&amp;
                "~%"&amp;IF(ROUND(INDIRECT("T_"&amp;A22),0)&lt;0,100&amp;"% "&amp;_Compr&amp;" #"&amp;$F$3,$I$14&amp;"% "&amp;_Compr&amp;" #"&amp;$I$3)&amp;
                "~%"&amp;IF(ROUND(INDIRECT("T_"&amp;A22),0)=0,100&amp;"% − #"         &amp;$F$3,$I$14&amp;"% − #"        &amp;$I$3)&amp;"}"&amp;Salto&amp;Tab</f>
        <v xml:space="preserve"> {1:MC:~%100% ← → #¡Muy bien!~%-33% → ← #Incorrecto, repasa los cálculos.~%-33% − #Incorrecto, repasa los cálculos.}&amp;emsp;</v>
      </c>
      <c r="C23" s="138" t="s">
        <v>244</v>
      </c>
      <c r="D23" s="121"/>
      <c r="E23" s="118"/>
      <c r="F23" s="118"/>
      <c r="G23" s="118"/>
      <c r="H23" s="118"/>
      <c r="I23" s="118"/>
    </row>
    <row r="24" spans="1:10" ht="57.35" outlineLevel="1" x14ac:dyDescent="0.5">
      <c r="A24" s="121" t="s">
        <v>215</v>
      </c>
      <c r="B24" s="153" t="str" cm="1">
        <f t="array" aca="1" ref="B24" ca="1">"- Barra "&amp;A24&amp;" {"&amp;$E$13&amp;":NM:"&amp;
      $F$2&amp;ROUND(ABS(INDIRECT("T_"&amp;A24)),2)&amp;":"&amp;ROUND(ABS(INDIRECT("T_"&amp;A24)),2)*$F$13&amp;"#"&amp;$F$3&amp;"
    "&amp;$G$2&amp;ROUND(ABS(INDIRECT("T_"&amp;A24)),2)&amp;":"&amp;ROUND(ABS(INDIRECT("T_"&amp;A24)),2)*$G$13&amp;"#"&amp;$G$3&amp;"
    "&amp;$H$2&amp;ROUND(ABS(INDIRECT("T_"&amp;A24)),2)&amp;":"&amp;ROUND(ABS(INDIRECT("T_"&amp;A24)),2)*$H$13&amp;"#"&amp;$H$3&amp;"
    "&amp;$I$2&amp;ROUND(ABS(INDIRECT("T_"&amp;A24)),2)&amp;":"&amp;ROUND(ABS(INDIRECT("T_"&amp;A24))+100,2)*$I$13&amp;"#"&amp;$I$3&amp;"}"&amp;Tab&amp;"kN"&amp;Tab</f>
        <v>- Barra CE {3:NM:%100%421,14:2,1057#¡Muy bien!
    ~%95%421,14:8,4228#Bien, pero cuidado con los redondeos.
    ~%85%421,14:21,057#Valor aproximado, pero no exacto.
    ~%-10%421,14:52114#Incorrecto, repasa los cálculos.}&amp;emsp;kN&amp;emsp;</v>
      </c>
      <c r="C24" s="138" t="s">
        <v>244</v>
      </c>
      <c r="D24" s="121"/>
      <c r="E24" s="118"/>
      <c r="F24" s="118"/>
      <c r="G24" s="118"/>
      <c r="H24" s="118"/>
      <c r="I24" s="118"/>
    </row>
    <row r="25" spans="1:10" ht="15" customHeight="1" outlineLevel="1" x14ac:dyDescent="0.5">
      <c r="B25" s="153" t="str" cm="1">
        <f t="array" aca="1" ref="B25" ca="1">" {"&amp;$E$14&amp;":MC:~%"&amp;IF(ROUND(INDIRECT("T_"&amp;A24),0)&gt;0,100&amp;"% "&amp;_Tracc&amp;" #"&amp;$F$3,$I$14&amp;"% "&amp;_Tracc&amp;" #"&amp;$I$3)&amp;
                "~%"&amp;IF(ROUND(INDIRECT("T_"&amp;A24),0)&lt;0,100&amp;"% "&amp;_Compr&amp;" #"&amp;$F$3,$I$14&amp;"% "&amp;_Compr&amp;" #"&amp;$I$3)&amp;
                "~%"&amp;IF(ROUND(INDIRECT("T_"&amp;A24),0)=0,100&amp;"% − #"         &amp;$F$3,$I$14&amp;"% − #"        &amp;$I$3)&amp;"}"&amp;Salto&amp;Tab</f>
        <v xml:space="preserve"> {1:MC:~%-33% ← → #Incorrecto, repasa los cálculos.~%100% → ← #¡Muy bien!~%-33% − #Incorrecto, repasa los cálculos.}&amp;emsp;</v>
      </c>
      <c r="C25" s="138" t="s">
        <v>244</v>
      </c>
      <c r="D25" s="121"/>
      <c r="E25" s="118"/>
      <c r="F25" s="118"/>
      <c r="G25" s="118"/>
      <c r="H25" s="118"/>
      <c r="I25" s="118"/>
    </row>
    <row r="26" spans="1:10" ht="57.35" outlineLevel="1" x14ac:dyDescent="0.5">
      <c r="A26" s="121" t="s">
        <v>216</v>
      </c>
      <c r="B26" s="153" t="str" cm="1">
        <f t="array" aca="1" ref="B26" ca="1">"- Barra "&amp;A26&amp;" {"&amp;$E$13&amp;":NM:"&amp;
      $F$2&amp;ROUND(ABS(INDIRECT("T_"&amp;A26)),2)&amp;":"&amp;ROUND(ABS(INDIRECT("T_"&amp;A26)),2)*$F$13&amp;"#"&amp;$F$3&amp;"
    "&amp;$G$2&amp;ROUND(ABS(INDIRECT("T_"&amp;A26)),2)&amp;":"&amp;ROUND(ABS(INDIRECT("T_"&amp;A26)),2)*$G$13&amp;"#"&amp;$G$3&amp;"
    "&amp;$H$2&amp;ROUND(ABS(INDIRECT("T_"&amp;A26)),2)&amp;":"&amp;ROUND(ABS(INDIRECT("T_"&amp;A26)),2)*$H$13&amp;"#"&amp;$H$3&amp;"
    "&amp;$I$2&amp;ROUND(ABS(INDIRECT("T_"&amp;A26)),2)&amp;":"&amp;ROUND(ABS(INDIRECT("T_"&amp;A26))+100,2)*$I$13&amp;"#"&amp;$I$3&amp;"}"&amp;Tab&amp;"kN"&amp;Tab</f>
        <v>- Barra CB {3:NM:%100%464,72:2,3236#¡Muy bien!
    ~%95%464,72:9,2944#Bien, pero cuidado con los redondeos.
    ~%85%464,72:23,236#Valor aproximado, pero no exacto.
    ~%-10%464,72:56472#Incorrecto, repasa los cálculos.}&amp;emsp;kN&amp;emsp;</v>
      </c>
      <c r="C26" s="138" t="s">
        <v>244</v>
      </c>
      <c r="D26" s="121"/>
      <c r="E26" s="118"/>
      <c r="F26" s="118"/>
      <c r="G26" s="118"/>
      <c r="H26" s="118"/>
      <c r="I26" s="118"/>
    </row>
    <row r="27" spans="1:10" ht="15" customHeight="1" outlineLevel="1" thickBot="1" x14ac:dyDescent="0.55000000000000004">
      <c r="B27" s="153" t="str" cm="1">
        <f t="array" aca="1" ref="B27" ca="1">" {"&amp;$E$14&amp;":MC:~%"&amp;IF(ROUND(INDIRECT("T_"&amp;A26),0)&gt;0,100&amp;"% "&amp;_Tracc&amp;" #"&amp;$F$3,$I$14&amp;"% "&amp;_Tracc&amp;" #"&amp;$I$3)&amp;
                "~%"&amp;IF(ROUND(INDIRECT("T_"&amp;A26),0)&lt;0,100&amp;"% "&amp;_Compr&amp;" #"&amp;$F$3,$I$14&amp;"% "&amp;_Compr&amp;" #"&amp;$I$3)&amp;
                "~%"&amp;IF(ROUND(INDIRECT("T_"&amp;A26),0)=0,100&amp;"% − #"         &amp;$F$3,$I$14&amp;"% − #"        &amp;$I$3)&amp;"}"&amp;Salto&amp;Tab</f>
        <v xml:space="preserve"> {1:MC:~%100% ← → #¡Muy bien!~%-33% → ← #Incorrecto, repasa los cálculos.~%-33% − #Incorrecto, repasa los cálculos.}&amp;emsp;</v>
      </c>
      <c r="C27" s="138" t="s">
        <v>244</v>
      </c>
      <c r="D27" s="121"/>
      <c r="E27" s="118"/>
      <c r="F27" s="118"/>
      <c r="G27" s="118"/>
      <c r="H27" s="118"/>
      <c r="I27" s="118"/>
    </row>
    <row r="28" spans="1:10" ht="29" thickBot="1" x14ac:dyDescent="0.55000000000000004">
      <c r="B28" s="240" t="str">
        <f>Preg_3&amp;" ["&amp;E28&amp;" puntos]"&amp;Salto&amp;REPT(Tab,8)</f>
        <v>3) La tensión máxima de la estructura (con un decimal, en valor absoluto), sin tener en cuenta la esbeltez, si toda las barras tienen de sección un redondo macizo, de diámetro d =60 mm. [10 puntos]&amp;emsp;&amp;emsp;&amp;emsp;&amp;emsp;&amp;emsp;&amp;emsp;&amp;emsp;&amp;emsp;</v>
      </c>
      <c r="C28" s="138" t="s">
        <v>244</v>
      </c>
      <c r="D28" s="268" t="s">
        <v>279</v>
      </c>
      <c r="E28" s="301">
        <v>10</v>
      </c>
      <c r="F28" s="302">
        <v>5.0000000000000001E-3</v>
      </c>
      <c r="G28" s="302">
        <v>0.03</v>
      </c>
      <c r="H28" s="302">
        <v>0.06</v>
      </c>
      <c r="I28" s="303">
        <v>100</v>
      </c>
    </row>
    <row r="29" spans="1:10" ht="57.35" outlineLevel="1" x14ac:dyDescent="0.5">
      <c r="B29" s="153" t="str">
        <f>"σ &lt;sub&gt;max&lt;/sub&gt; = {"&amp;E28&amp;":NM:"&amp;$F$2&amp;ROUND(ABS(s_),1)&amp;":"&amp;ROUND(ABS(s_),1)*$F$28&amp;"#"&amp;$F$3&amp;"
                                 "&amp;$G$2&amp;ROUND(ABS(s_),1)&amp;":"&amp;ROUND(ABS(s_),1)*$G$28&amp;"#"&amp;$G$3&amp;"
                                 "&amp;$H$2&amp;ROUND(ABS(s_),1)&amp;":"&amp;ROUND(ABS(s_),1)*$H$28&amp;"#"&amp;$H$3&amp;"
                                 "&amp;$I$2&amp;ROUND(ABS(s_),1)&amp;":"&amp;ROUND(ABS(s_)+100,1)*$I$28&amp;"#"&amp;$I$3&amp;"} MPa "&amp;Salto</f>
        <v xml:space="preserve">σ &lt;sub&gt;max&lt;/sub&gt; = {10:NM:%100%219,1:1,0955#¡Muy bien!
                                 ~%95%219,1:6,573#Bien, pero cuidado con los redondeos.
                                 ~%85%219,1:13,146#Valor aproximado, pero no exacto.
                                 ~%-10%219,1:31910#Incorrecto, repasa los cálculos.} MPa </v>
      </c>
      <c r="C29" s="138" t="s">
        <v>244</v>
      </c>
      <c r="D29" s="268"/>
      <c r="J29" t="str" cm="1">
        <f t="array" aca="1" ref="J29" ca="1">Pregunta_1_FTP</f>
        <v xml:space="preserve">1) Las Reacciones en los apoyos (con dos decimales y en valor absoluto) y su dirección.[12 puntos]  
Apoyo Fijo: Nudo C&amp;emsp; 
- Rv = {3:NM:%100%210,57:1,05285#¡Muy bien!
   ~%95%210,57:4,2114#Bien, pero cuidado con los redondeos.
   ~%85%210,57:10,5285#Valor aproximado, pero no exacto.
   ~%-10%210,57:31057#Incorrecto, repasa los cálculos.} kN&amp;emsp;
 {1:MC:~%100% ↑ #¡Muy bien!~%-33% ↓ #Incorrecto, repasa los cálculos.~%-33% − #Incorrecto, repasa los cálculos.}&amp;emsp;
- Rh = {3:NM:%100%100:0,5#¡Muy bien!
   ~%95%100:2#Bien, pero cuidado con los redondeos.
   ~%85%100:5#Valor aproximado, pero no exacto.
   ~%-10%100:20000#Incorrecto, repasa los cálculos.} kN&amp;emsp;
 {1:MC:~%100% → #¡Muy bien!~%-33% ← #Incorrecto, repasa los cálculos.~%-33% − #Incorrecto, repasa los cálculos.} 
Apoyo Móvil: Nudo B&amp;emsp; 
- Rv = {3:NM:%100%260,57:1,30285#¡Muy bien!
 ~%95%260,57:5,2114#Bien, pero cuidado con los redondeos.
 ~%85%260,57:13,0285#Valor aproximado, pero no exacto.
 ~%-10%260,57:36057#Incorrecto, repasa los cálculos.} kN&amp;emsp; 
 {1:MC:~%-33% ↑ #Incorrecto, repasa los cálculos.~%100% ↓ #¡Muy bien!~%-33% − #Incorrecto, repasa los cálculos.} 
</v>
      </c>
    </row>
    <row r="30" spans="1:10" ht="43.35" thickBot="1" x14ac:dyDescent="0.55000000000000004">
      <c r="B30" s="240" t="str">
        <f>Preg_4&amp;Salto&amp;" 
Para resolver la pregunta paso a paso, completa los siguientes apartados:"&amp;Salto&amp;Tab</f>
        <v>4) El diámetro mínimo (d) necesario (para todas las barras igual, en mm y sin decimales), teniendo en cuenta la esbeltez, para que no falle ninguna barra. El material es de acero S235 y el coeficiente de imperfección es tipo c. 
Para resolver la pregunta paso a paso, completa los siguientes apartados:&amp;emsp;</v>
      </c>
      <c r="C30" s="138" t="s">
        <v>244</v>
      </c>
      <c r="D30" s="268"/>
    </row>
    <row r="31" spans="1:10" ht="43.35" outlineLevel="1" thickBot="1" x14ac:dyDescent="0.55000000000000004">
      <c r="B31" s="153" t="str">
        <f>"a) El "&amp;D_L&amp;" propuesto, d = "&amp;d_&amp;" mm, 
{"&amp;E31&amp;":MC:~%"&amp;IF(d_&gt;=d_min_esb,100,I31)&amp;"%"&amp;_OK&amp;"#"&amp;IF(d_&gt;=d_min_esb,F3,I3)&amp;"~%"&amp;
                IF(d_&lt; d_min_esb,100,I31)&amp;"%"&amp;_NO&amp;"#"&amp;IF(d_&lt; d_min_esb,F3,I3)&amp;"} 
es válido para que ninguna de las barras de la cercha falle por esbeltez. ["&amp;E31&amp;" puntos]"&amp;Salto&amp;Tab</f>
        <v>a) El diámetro propuesto, d = 60 mm, 
{10:MC:~%-33%Sí#Incorrecto, repasa los cálculos.~%100%No#¡Muy bien!} 
es válido para que ninguna de las barras de la cercha falle por esbeltez. [10 puntos]&amp;emsp;</v>
      </c>
      <c r="C31" s="138" t="s">
        <v>244</v>
      </c>
      <c r="D31" s="268" t="s">
        <v>280</v>
      </c>
      <c r="E31" s="301">
        <v>10</v>
      </c>
      <c r="F31" s="304"/>
      <c r="G31" s="304"/>
      <c r="H31" s="304"/>
      <c r="I31" s="305">
        <v>-33</v>
      </c>
    </row>
    <row r="32" spans="1:10" ht="57.7" outlineLevel="1" thickBot="1" x14ac:dyDescent="0.55000000000000004">
      <c r="B32" s="153" t="str">
        <f>"b) El "&amp;D_L&amp;" mínimo (sin decimales) que se podría poner por esbeltez es: 
d&lt;sub&gt;min&lt;/sub&gt;=  {"&amp;E32&amp;":NM:"&amp;$F$2&amp;d_min_esb&amp;":"&amp;d_min_esb*$F$32&amp;"#"&amp;$F$3&amp;"
                               "&amp;$H$2&amp;d_min_esb&amp;":1#"            &amp;$H$3&amp;TEXT(N("Solo tolerancia de 1 para el diámetro"),"")&amp;"
                               "&amp;$I$2&amp;d_min_esb&amp;":"&amp;d_min_esb*$I$32&amp;"#"&amp;$I$3&amp;"} mm. ["&amp;E32&amp;" puntos]"&amp;Salto&amp;Tab</f>
        <v>b) El diámetro mínimo (sin decimales) que se podría poner por esbeltez es: 
d&lt;sub&gt;min&lt;/sub&gt;=  {10:NM:%100%64:0#¡Muy bien!
                               ~%85%64:1#Valor aproximado, pero no exacto.
                               ~%-10%64:6400#Incorrecto, repasa los cálculos.} mm. [10 puntos]&amp;emsp;</v>
      </c>
      <c r="C32" s="138" t="s">
        <v>244</v>
      </c>
      <c r="D32" s="268" t="s">
        <v>279</v>
      </c>
      <c r="E32" s="301">
        <v>10</v>
      </c>
      <c r="F32" s="302"/>
      <c r="G32" s="443" t="s">
        <v>302</v>
      </c>
      <c r="H32" s="443"/>
      <c r="I32" s="303">
        <v>100</v>
      </c>
    </row>
    <row r="33" spans="1:9" ht="57.35" customHeight="1" outlineLevel="1" thickBot="1" x14ac:dyDescent="0.55000000000000004">
      <c r="B33" s="153" t="str">
        <f>IF(PROBLEMA!M71=V_Excel,"","c) Para el "&amp;D_L&amp;" obtenido en el apartado (b), el valor máximo de la esbeltez (sin decimales) es: 
λ&lt;sub&gt;max&lt;/sub&gt;= {"&amp;E33&amp;":NM:"&amp;$F$2&amp;λ_esbeltez&amp;":"&amp;λ_esbeltez*$F$33&amp;"#"&amp;$F$3&amp;"
                "&amp;$H$2&amp;λ_esbeltez&amp;":1#"        &amp;$H$3&amp;TEXT(N("Solo tolerancia de 1 para la esbeltez"),"")&amp;"
                "&amp;$I$2&amp;λ_esbeltez&amp;":"&amp;λ_esbeltez*$I$33&amp;"#"&amp;$I$3&amp;"}. "&amp;" ["&amp;E33&amp;" puntos]"&amp;Salto&amp;Tab)</f>
        <v>c) Para el diámetro obtenido en el apartado (b), el valor máximo de la esbeltez (sin decimales) es: 
λ&lt;sub&gt;max&lt;/sub&gt;= {3:NM:%100%250:0#¡Muy bien!
                ~%85%250:1#Valor aproximado, pero no exacto.
                ~%-10%250:25000#Incorrecto, repasa los cálculos.}.  [3 puntos]&amp;emsp;</v>
      </c>
      <c r="C33" s="138" t="s">
        <v>244</v>
      </c>
      <c r="D33" s="268" t="s">
        <v>279</v>
      </c>
      <c r="E33" s="301">
        <v>3</v>
      </c>
      <c r="F33" s="302"/>
      <c r="G33" s="443" t="s">
        <v>303</v>
      </c>
      <c r="H33" s="443"/>
      <c r="I33" s="303">
        <v>100</v>
      </c>
    </row>
    <row r="34" spans="1:9" ht="72" outlineLevel="1" thickBot="1" x14ac:dyDescent="0.55000000000000004">
      <c r="B34" s="153" t="str">
        <f>IF(PROBLEMA!M71=V_Excel,"","d) Para el "&amp;D_L&amp;" calculado en el apartado (b), la tensión máxima (con un decimal) a la que estaría sometida la cercha es: 
σ &lt;sub&gt;max&lt;/sub&gt; = {"&amp;E34&amp;":NM:"&amp;$F$2&amp;Tension_d_min_esb&amp;":"&amp;Tension_d_min_esb*$F$34&amp;"#"&amp;$F$3&amp;"
                               "&amp;$G$2&amp;Tension_d_min_esb&amp;":"&amp;Tension_d_min_esb*$G$34&amp;"#"&amp;$G$3&amp;"
                               "&amp;$H$2&amp;Tension_d_min_esb&amp;":"&amp;Tension_d_min_esb*$H$34&amp;"#"&amp;$H$3&amp;"
                               "&amp;$I$2&amp;Tension_d_min_esb&amp;":"&amp;Tension_d_min_esb*$I$34&amp;"#"&amp;$I$3&amp;"} MPa. ["&amp;E34&amp;" puntos]"&amp;Salto&amp;Tab)</f>
        <v>d) Para el diámetro calculado en el apartado (b), la tensión máxima (con un decimal) a la que estaría sometida la cercha es: 
σ &lt;sub&gt;max&lt;/sub&gt; = {10:NM:%100%1627,5:8,1375#¡Muy bien!
                               ~%95%1627,5:32,55#Bien, pero cuidado con los redondeos.
                               ~%85%1627,5:81,375#Valor aproximado, pero no exacto.
                               ~%-10%1627,5:162750#Incorrecto, repasa los cálculos.} MPa. [10 puntos]&amp;emsp;</v>
      </c>
      <c r="C34" s="138" t="s">
        <v>244</v>
      </c>
      <c r="D34" s="268" t="s">
        <v>279</v>
      </c>
      <c r="E34" s="301">
        <v>10</v>
      </c>
      <c r="F34" s="302">
        <v>5.0000000000000001E-3</v>
      </c>
      <c r="G34" s="302">
        <v>0.02</v>
      </c>
      <c r="H34" s="302">
        <v>0.05</v>
      </c>
      <c r="I34" s="303">
        <v>100</v>
      </c>
    </row>
    <row r="35" spans="1:9" ht="57.35" customHeight="1" outlineLevel="1" thickBot="1" x14ac:dyDescent="0.55000000000000004">
      <c r="B35" s="153" t="str">
        <f ca="1">IFERROR(IF(PROBLEMA!M71=V_Excel,"","e) Teniendo en cuenta TODO, el "&amp;D_L&amp;" mínimo (sin decimales), que se debe poner para que la cercha sea válida es:
d&lt;sub&gt;min&lt;/sub&gt; (def.) =  {"&amp;E35&amp;":NM:"&amp;$F$2&amp;d_DEF&amp;":"&amp;d_DEF*$F35&amp;"#"&amp;$F$3&amp;"
                                     "&amp;$H$2&amp;d_DEF&amp;":1#"           &amp;$H$3&amp; TEXT(N("Solo tolerancia de 1 para el diámetro"),"")&amp;"
                                     "&amp;$I$2&amp;d_DEF&amp;":"&amp;d_DEF*$I35&amp;"#"&amp;$I$3&amp;"} mm. ["&amp;E35&amp;" puntos]"&amp;Salto&amp;Tab),"")</f>
        <v>e) Teniendo en cuenta TODO, el diámetro mínimo (sin decimales), que se debe poner para que la cercha sea válida es:
d&lt;sub&gt;min&lt;/sub&gt; (def.) =  {15:NM:%100%108:0#¡Muy bien!
                                     ~%85%108:1#Valor aproximado, pero no exacto.
                                     ~%-10%108:10800#Incorrecto, repasa los cálculos.} mm. [15 puntos]&amp;emsp;</v>
      </c>
      <c r="C35" s="138" t="s">
        <v>244</v>
      </c>
      <c r="D35" s="268" t="s">
        <v>279</v>
      </c>
      <c r="E35" s="301">
        <v>15</v>
      </c>
      <c r="F35" s="302"/>
      <c r="G35" s="443" t="s">
        <v>302</v>
      </c>
      <c r="H35" s="443"/>
      <c r="I35" s="303">
        <v>100</v>
      </c>
    </row>
    <row r="36" spans="1:9" ht="72" outlineLevel="1" thickBot="1" x14ac:dyDescent="0.55000000000000004">
      <c r="B36" s="153" t="str">
        <f ca="1">IFERROR(IF(PROBLEMA!M71=V_Excel,"","f) El coeficiente de seguridad (&gt;1 y con 2 decimales) es: "&amp;"
n = {"&amp;E36&amp;":NM:"&amp;$F$2&amp;ROUND(Acero_Ale/s_DEF,2)&amp;":"&amp;ROUND(Acero_Ale/s_DEF,2)*$F$36&amp;"#"&amp;$F$3&amp;"
                "&amp;$G$2&amp;ROUND(Acero_Ale/s_DEF,2)&amp;":"&amp;ROUND(Acero_Ale/s_DEF,2)*$G$36&amp;"#"&amp;$G$3&amp;"
                "&amp;$H$2&amp;ROUND(Acero_Ale/s_DEF,2)&amp;":"&amp;ROUND(Acero_Ale/s_DEF,2)*$H$36&amp;"#"&amp;$H$3&amp;"
                "&amp;$I$2&amp;ROUND(Acero_Ale/s_DEF,2)&amp;":"&amp;ROUND(Acero_Ale/s_DEF,2)*$I$36&amp;"#"&amp;$I$3&amp;"}. ["&amp;E36&amp;" puntos] "),"")</f>
        <v xml:space="preserve">f) El coeficiente de seguridad (&gt;1 y con 2 decimales) es: 
n = {2:NM:%100%1:0,005#¡Muy bien!
                ~%95%1:0,02#Bien, pero cuidado con los redondeos.
                ~%85%1:0,05#Valor aproximado, pero no exacto.
                ~%-10%1:100#Incorrecto, repasa los cálculos.}. [2 puntos] </v>
      </c>
      <c r="C36" s="138" t="s">
        <v>244</v>
      </c>
      <c r="D36" s="268" t="s">
        <v>279</v>
      </c>
      <c r="E36" s="301">
        <v>2</v>
      </c>
      <c r="F36" s="302">
        <v>5.0000000000000001E-3</v>
      </c>
      <c r="G36" s="302">
        <v>0.02</v>
      </c>
      <c r="H36" s="302">
        <v>0.05</v>
      </c>
      <c r="I36" s="303">
        <v>100</v>
      </c>
    </row>
    <row r="37" spans="1:9" x14ac:dyDescent="0.5"/>
    <row r="38" spans="1:9" ht="75" customHeight="1" x14ac:dyDescent="0.5">
      <c r="A38" s="310" t="s">
        <v>314</v>
      </c>
      <c r="B38" s="309" t="str">
        <f>"Los esfuerzos internos de las barras de la cercha de la figura tienen los siguientes valores:"&amp;Salto&amp;Tab&amp;"
Barra AB = "&amp;B_AB&amp;Tab&amp;"Barra BC = "&amp;B_BC&amp;Tab&amp;"Barra DE = "&amp;B_DE&amp;Salto&amp;Tab&amp;"
Barra AD = "&amp;B_AD&amp;Tab&amp;"Barra BD = "&amp;B_BD&amp;Tab&amp;"Barra BE = "&amp;B_BE&amp;Tab&amp;"Barra CE = "&amp;B_CE&amp;Salto&amp;"
Sabiendo que L = "&amp;L_&amp;" m y h = "&amp;ROUND(h_,3)&amp;" m."&amp;Salto&amp;"
Se pide calcular:"&amp;Salto</f>
        <v>Los esfuerzos internos de las barras de la cercha de la figura tienen los siguientes valores:&amp;emsp;
Barra AB = 223,21 kN ← →&amp;emsp;Barra BC = 464,72 kN ← →&amp;emsp;Barra DE = 619,62 kN → ←&amp;emsp;
Barra AD = 200,00 kN → ←&amp;emsp;Barra BD = 400,00 kN ← →&amp;emsp;Barra BE = 121,14 kN ← →&amp;emsp;Barra CE = 421,14 kN → ←
Sabiendo que L = 4 m y h = 1,155 m.
Se pide calcular:</v>
      </c>
    </row>
    <row r="39" spans="1:9" ht="409.35" customHeight="1" outlineLevel="1" x14ac:dyDescent="0.5">
      <c r="B39" s="315" t="str">
        <f ca="1">"1)"&amp;MID(B28,3,10000)&amp;B29&amp;"
2)" &amp;MID(B30,3,10000)&amp;B31&amp;B32&amp;B33&amp;B34&amp;B35&amp;B36</f>
        <v xml:space="preserve">1) La tensión máxima de la estructura (con un decimal, en valor absoluto), sin tener en cuenta la esbeltez, si toda las barras tienen de sección un redondo macizo, de diámetro d =60 mm. [10 puntos]&amp;emsp;&amp;emsp;&amp;emsp;&amp;emsp;&amp;emsp;&amp;emsp;&amp;emsp;&amp;emsp;σ &lt;sub&gt;max&lt;/sub&gt; = {10:NM:%100%219,1:1,0955#¡Muy bien!
                                 ~%95%219,1:6,573#Bien, pero cuidado con los redondeos.
                                 ~%85%219,1:13,146#Valor aproximado, pero no exacto.
                                 ~%-10%219,1:31910#Incorrecto, repasa los cálculos.} MPa 
2) El diámetro mínimo (d) necesario (para todas las barras igual, en mm y sin decimales), teniendo en cuenta la esbeltez, para que no falle ninguna barra. El material es de acero S235 y el coeficiente de imperfección es tipo c. 
Para resolver la pregunta paso a paso, completa los siguientes apartados:&amp;emsp;a) El diámetro propuesto, d = 60 mm, 
{10:MC:~%-33%Sí#Incorrecto, repasa los cálculos.~%100%No#¡Muy bien!} 
es válido para que ninguna de las barras de la cercha falle por esbeltez. [10 puntos]&amp;emsp;b) El diámetro mínimo (sin decimales) que se podría poner por esbeltez es: 
d&lt;sub&gt;min&lt;/sub&gt;=  {10:NM:%100%64:0#¡Muy bien!
                               ~%85%64:1#Valor aproximado, pero no exacto.
                               ~%-10%64:6400#Incorrecto, repasa los cálculos.} mm. [10 puntos]&amp;emsp;c) Para el diámetro obtenido en el apartado (b), el valor máximo de la esbeltez (sin decimales) es: 
λ&lt;sub&gt;max&lt;/sub&gt;= {3:NM:%100%250:0#¡Muy bien!
                ~%85%250:1#Valor aproximado, pero no exacto.
                ~%-10%250:25000#Incorrecto, repasa los cálculos.}.  [3 puntos]&amp;emsp;d) Para el diámetro calculado en el apartado (b), la tensión máxima (con un decimal) a la que estaría sometida la cercha es: 
σ &lt;sub&gt;max&lt;/sub&gt; = {10:NM:%100%1627,5:8,1375#¡Muy bien!
                               ~%95%1627,5:32,55#Bien, pero cuidado con los redondeos.
                               ~%85%1627,5:81,375#Valor aproximado, pero no exacto.
                               ~%-10%1627,5:162750#Incorrecto, repasa los cálculos.} MPa. [10 puntos]&amp;emsp;e) Teniendo en cuenta TODO, el diámetro mínimo (sin decimales), que se debe poner para que la cercha sea válida es:
d&lt;sub&gt;min&lt;/sub&gt; (def.) =  {15:NM:%100%108:0#¡Muy bien!
                                     ~%85%108:1#Valor aproximado, pero no exacto.
                                     ~%-10%108:10800#Incorrecto, repasa los cálculos.} mm. [15 puntos]&amp;emsp;f) El coeficiente de seguridad (&gt;1 y con 2 decimales) es: 
n = {2:NM:%100%1:0,005#¡Muy bien!
                ~%95%1:0,02#Bien, pero cuidado con los redondeos.
                ~%85%1:0,05#Valor aproximado, pero no exacto.
                ~%-10%1:100#Incorrecto, repasa los cálculos.}. [2 puntos] </v>
      </c>
    </row>
    <row r="40" spans="1:9" x14ac:dyDescent="0.5">
      <c r="B40" s="138"/>
    </row>
    <row r="41" spans="1:9" x14ac:dyDescent="0.5"/>
    <row r="42" spans="1:9" x14ac:dyDescent="0.5"/>
    <row r="43" spans="1:9" x14ac:dyDescent="0.5"/>
    <row r="44" spans="1:9" x14ac:dyDescent="0.5"/>
    <row r="45" spans="1:9" x14ac:dyDescent="0.5"/>
  </sheetData>
  <sheetProtection algorithmName="SHA-512" hashValue="tcp2zqm9FUnIIBDyP/+05tpVwu7xlh69GfkVL1qhNmLfvGAsDX1XVpwx7AxLkEl1v/EQXaIJwg0l8q1HU4l0lw==" saltValue="QvNHv0EcSK+LUCglK2gWXQ==" spinCount="100000" sheet="1" objects="1" scenarios="1" formatRows="0" selectLockedCells="1"/>
  <mergeCells count="5">
    <mergeCell ref="C1:E1"/>
    <mergeCell ref="B2:B3"/>
    <mergeCell ref="G32:H32"/>
    <mergeCell ref="G33:H33"/>
    <mergeCell ref="G35:H35"/>
  </mergeCells>
  <conditionalFormatting sqref="A2">
    <cfRule type="expression" dxfId="3" priority="1">
      <formula>D_Fijos=_NO</formula>
    </cfRule>
  </conditionalFormatting>
  <conditionalFormatting sqref="A3">
    <cfRule type="expression" dxfId="2" priority="2">
      <formula>Salto=""</formula>
    </cfRule>
  </conditionalFormatting>
  <dataValidations disablePrompts="1" count="2">
    <dataValidation type="list" allowBlank="1" showInputMessage="1" showErrorMessage="1" sqref="C1:D1" xr:uid="{00000000-0002-0000-0400-000000000000}">
      <formula1>Lista_Imagenes</formula1>
    </dataValidation>
    <dataValidation type="whole" allowBlank="1" showInputMessage="1" showErrorMessage="1" sqref="I5" xr:uid="{F7F9C50A-F3B3-4D59-A6A6-50CE87CB9C37}">
      <formula1>-100</formula1>
      <formula2>0</formula2>
    </dataValidation>
  </dataValidations>
  <pageMargins left="0.70866141732283472" right="0.70866141732283472" top="0.74803149606299213" bottom="0.74803149606299213" header="0.31496062992125984" footer="0.31496062992125984"/>
  <pageSetup paperSize="9" orientation="portrait" r:id="rId1"/>
  <headerFooter>
    <oddFooter>&amp;CElaborado por Milagros Huerta GM (UCA)&amp;R&amp;P /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_Enlaces_Imagenes">
    <tabColor rgb="FF005877"/>
  </sheetPr>
  <dimension ref="A1:F2"/>
  <sheetViews>
    <sheetView showGridLines="0" showRowColHeaders="0" workbookViewId="0">
      <selection activeCell="E2" sqref="E2"/>
    </sheetView>
  </sheetViews>
  <sheetFormatPr baseColWidth="10" defaultRowHeight="14.35" x14ac:dyDescent="0.5"/>
  <cols>
    <col min="1" max="1" width="14.5859375" customWidth="1"/>
    <col min="2" max="2" width="35.29296875" customWidth="1"/>
    <col min="3" max="3" width="28.87890625" customWidth="1"/>
    <col min="6" max="6" width="48.9375" customWidth="1"/>
  </cols>
  <sheetData>
    <row r="1" spans="1:6" x14ac:dyDescent="0.5">
      <c r="A1" s="7" t="s">
        <v>2</v>
      </c>
      <c r="B1" s="7" t="s">
        <v>9</v>
      </c>
      <c r="C1" s="7" t="s">
        <v>10</v>
      </c>
      <c r="D1" s="7" t="s">
        <v>17</v>
      </c>
      <c r="E1" s="7" t="s">
        <v>18</v>
      </c>
      <c r="F1" s="7" t="s">
        <v>19</v>
      </c>
    </row>
    <row r="2" spans="1:6" ht="28.7" x14ac:dyDescent="0.5">
      <c r="A2" s="241" t="s">
        <v>209</v>
      </c>
      <c r="B2" s="242" t="s">
        <v>240</v>
      </c>
      <c r="C2" s="243" t="str">
        <f>MID(B2,26,33)</f>
        <v>Cercha-Tipo-1.png</v>
      </c>
      <c r="D2" s="244"/>
      <c r="E2" s="244" t="s">
        <v>225</v>
      </c>
      <c r="F2" s="245" t="str">
        <f>URL_I&amp;T_D_IMAGENES[[#This Row],[Enlace]]&amp;URL_W&amp;T_D_IMAGENES[[#This Row],[Ancho]]&amp;URL_ALTO&amp;T_D_IMAGENES[[#This Row],[Alto]]&amp;URL_F</f>
        <v>&lt;img src="https://i.ibb.co/Ssb0PNT/Cercha-Tipo-1.png" width="" height="200"&gt;</v>
      </c>
    </row>
  </sheetData>
  <sheetProtection algorithmName="SHA-512" hashValue="zhhPCQU7HybMOlhpMu8iC8IW0jyz2pVr+18gJhTz7AF4GzHDIhmaLGfhP2w463YLkF3GXAEPVKv9vDwiIZx/Jg==" saltValue="NH+zTnHnxH2BaS9GsVub0A==" spinCount="100000" sheet="1" objects="1" scenarios="1" selectLockedCells="1"/>
  <conditionalFormatting sqref="D2:E2">
    <cfRule type="cellIs" dxfId="1" priority="1" operator="equal">
      <formula>"0"</formula>
    </cfRule>
  </conditionalFormatting>
  <hyperlinks>
    <hyperlink ref="B2" r:id="rId1" xr:uid="{553DAEBA-0F9C-4C41-A21F-00FB9F982B77}"/>
  </hyperlinks>
  <pageMargins left="0.7" right="0.7" top="0.75" bottom="0.75" header="0.3" footer="0.3"/>
  <pageSetup paperSize="9" orientation="portrait" horizontalDpi="4294967295" verticalDpi="4294967295"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48BA4D-CE5B-43C5-94E4-76CC867EBB3B}">
  <sheetPr codeName="h_Coef_Pandeo"/>
  <dimension ref="A1:J238"/>
  <sheetViews>
    <sheetView showGridLines="0" showRowColHeaders="0" zoomScale="241" zoomScaleNormal="150" workbookViewId="0">
      <pane xSplit="9" ySplit="6" topLeftCell="J7" activePane="bottomRight" state="frozen"/>
      <selection pane="topRight" activeCell="J1" sqref="J1"/>
      <selection pane="bottomLeft" activeCell="A7" sqref="A7"/>
      <selection pane="bottomRight" activeCell="B7" sqref="B7"/>
    </sheetView>
  </sheetViews>
  <sheetFormatPr baseColWidth="10" defaultColWidth="0" defaultRowHeight="14.35" zeroHeight="1" outlineLevelRow="1" x14ac:dyDescent="0.5"/>
  <cols>
    <col min="1" max="1" width="7.5859375" customWidth="1"/>
    <col min="2" max="5" width="5.5859375" customWidth="1"/>
    <col min="6" max="9" width="0" hidden="1" customWidth="1"/>
    <col min="10" max="10" width="2.64453125" customWidth="1"/>
    <col min="11" max="16384" width="10.8203125" hidden="1"/>
  </cols>
  <sheetData>
    <row r="1" spans="1:9" ht="14.7" thickBot="1" x14ac:dyDescent="0.55000000000000004">
      <c r="A1" s="30"/>
      <c r="B1" s="444">
        <f>Acero_Ale</f>
        <v>235</v>
      </c>
      <c r="C1" s="445"/>
      <c r="D1" s="445"/>
      <c r="E1" s="446"/>
      <c r="F1" s="444">
        <f>Acero_Ale</f>
        <v>235</v>
      </c>
      <c r="G1" s="445"/>
      <c r="H1" s="445"/>
      <c r="I1" s="446"/>
    </row>
    <row r="2" spans="1:9" ht="27" thickBot="1" x14ac:dyDescent="0.55000000000000004">
      <c r="A2" s="31" t="s">
        <v>43</v>
      </c>
      <c r="B2" s="32" t="s">
        <v>44</v>
      </c>
      <c r="C2" s="33" t="s">
        <v>45</v>
      </c>
      <c r="D2" s="33" t="s">
        <v>46</v>
      </c>
      <c r="E2" s="34" t="s">
        <v>47</v>
      </c>
    </row>
    <row r="3" spans="1:9" s="39" customFormat="1" ht="10.35" outlineLevel="1" x14ac:dyDescent="0.35">
      <c r="A3" s="35"/>
      <c r="B3" s="36" t="str">
        <f>B4&amp;B2</f>
        <v>235wa</v>
      </c>
      <c r="C3" s="37" t="str">
        <f>C4&amp;C2</f>
        <v>235wb</v>
      </c>
      <c r="D3" s="37" t="str">
        <f>D4&amp;D2</f>
        <v>235wc</v>
      </c>
      <c r="E3" s="38" t="str">
        <f>E4&amp;E2</f>
        <v>235wd</v>
      </c>
    </row>
    <row r="4" spans="1:9" s="39" customFormat="1" ht="10.35" outlineLevel="1" x14ac:dyDescent="0.35">
      <c r="A4" s="40"/>
      <c r="B4" s="41">
        <f>B1</f>
        <v>235</v>
      </c>
      <c r="C4" s="42">
        <f>B4</f>
        <v>235</v>
      </c>
      <c r="D4" s="42">
        <f>C4</f>
        <v>235</v>
      </c>
      <c r="E4" s="43">
        <f>D4</f>
        <v>235</v>
      </c>
    </row>
    <row r="5" spans="1:9" s="39" customFormat="1" ht="10.35" outlineLevel="1" x14ac:dyDescent="0.35">
      <c r="A5" s="44" t="s">
        <v>48</v>
      </c>
      <c r="B5" s="36" t="s">
        <v>49</v>
      </c>
      <c r="C5" s="37" t="s">
        <v>50</v>
      </c>
      <c r="D5" s="37" t="s">
        <v>42</v>
      </c>
      <c r="E5" s="38" t="s">
        <v>51</v>
      </c>
    </row>
    <row r="6" spans="1:9" ht="15.35" outlineLevel="1" thickBot="1" x14ac:dyDescent="0.55000000000000004">
      <c r="A6" s="45" t="s">
        <v>52</v>
      </c>
      <c r="B6" s="46">
        <v>0.21</v>
      </c>
      <c r="C6" s="47">
        <v>0.34</v>
      </c>
      <c r="D6" s="47">
        <v>0.49</v>
      </c>
      <c r="E6" s="48">
        <v>0.76</v>
      </c>
    </row>
    <row r="7" spans="1:9" x14ac:dyDescent="0.5">
      <c r="A7" s="49">
        <f>ROW()+13</f>
        <v>20</v>
      </c>
      <c r="B7" s="50">
        <f>ROUND(   0.5*(1+B$6*(($A7/(PI()*(210000/B$4)^0.5))-0.2)+($A7/(PI()*(210000/B$4)^0.5))^2)
+((0.5*(1+B$6*(($A7/(PI()*(210000/B$4)^0.5))-0.2)+($A7/(PI()*(210000/B$4)^0.5))^2))^2
-($A7/(PI()*(210000/B$4)^0.5))^2)^0.5,2)</f>
        <v>1</v>
      </c>
      <c r="C7" s="51">
        <f t="shared" ref="C7:E26" si="0">ROUND(   0.5*(1+C$6*(($A7/(PI()*(210000/C$4)^0.5))-0.2)+($A7/(PI()*(210000/C$4)^0.5))^2)
+((0.5*(1+C$6*(($A7/(PI()*(210000/C$4)^0.5))-0.2)+($A7/(PI()*(210000/C$4)^0.5))^2))^2
-($A7/(PI()*(210000/C$4)^0.5))^2)^0.5,2)</f>
        <v>1</v>
      </c>
      <c r="D7" s="51">
        <f t="shared" si="0"/>
        <v>1.01</v>
      </c>
      <c r="E7" s="52">
        <f t="shared" si="0"/>
        <v>1.01</v>
      </c>
    </row>
    <row r="8" spans="1:9" x14ac:dyDescent="0.5">
      <c r="A8" s="53">
        <f t="shared" ref="A8:A71" si="1">ROW()+13</f>
        <v>21</v>
      </c>
      <c r="B8" s="54">
        <f t="shared" ref="B8:E27" si="2">ROUND(   0.5*(1+B$6*(($A8/(PI()*(210000/B$4)^0.5))-0.2)+($A8/(PI()*(210000/B$4)^0.5))^2)
+((0.5*(1+B$6*(($A8/(PI()*(210000/B$4)^0.5))-0.2)+($A8/(PI()*(210000/B$4)^0.5))^2))^2
-($A8/(PI()*(210000/B$4)^0.5))^2)^0.5,2)</f>
        <v>1.01</v>
      </c>
      <c r="C8" s="55">
        <f t="shared" si="0"/>
        <v>1.01</v>
      </c>
      <c r="D8" s="55">
        <f t="shared" si="0"/>
        <v>1.01</v>
      </c>
      <c r="E8" s="56">
        <f t="shared" si="0"/>
        <v>1.02</v>
      </c>
    </row>
    <row r="9" spans="1:9" x14ac:dyDescent="0.5">
      <c r="A9" s="53">
        <f t="shared" si="1"/>
        <v>22</v>
      </c>
      <c r="B9" s="54">
        <f t="shared" si="2"/>
        <v>1.01</v>
      </c>
      <c r="C9" s="55">
        <f t="shared" si="0"/>
        <v>1.01</v>
      </c>
      <c r="D9" s="55">
        <f t="shared" si="0"/>
        <v>1.02</v>
      </c>
      <c r="E9" s="56">
        <f t="shared" si="0"/>
        <v>1.03</v>
      </c>
    </row>
    <row r="10" spans="1:9" x14ac:dyDescent="0.5">
      <c r="A10" s="53">
        <f t="shared" si="1"/>
        <v>23</v>
      </c>
      <c r="B10" s="54">
        <f t="shared" si="2"/>
        <v>1.01</v>
      </c>
      <c r="C10" s="55">
        <f t="shared" si="0"/>
        <v>1.02</v>
      </c>
      <c r="D10" s="55">
        <f t="shared" si="0"/>
        <v>1.02</v>
      </c>
      <c r="E10" s="56">
        <f t="shared" si="0"/>
        <v>1.04</v>
      </c>
    </row>
    <row r="11" spans="1:9" x14ac:dyDescent="0.5">
      <c r="A11" s="53">
        <f t="shared" si="1"/>
        <v>24</v>
      </c>
      <c r="B11" s="54">
        <f t="shared" si="2"/>
        <v>1.01</v>
      </c>
      <c r="C11" s="55">
        <f t="shared" si="0"/>
        <v>1.02</v>
      </c>
      <c r="D11" s="55">
        <f t="shared" si="0"/>
        <v>1.03</v>
      </c>
      <c r="E11" s="56">
        <f t="shared" si="0"/>
        <v>1.05</v>
      </c>
    </row>
    <row r="12" spans="1:9" x14ac:dyDescent="0.5">
      <c r="A12" s="53">
        <f t="shared" si="1"/>
        <v>25</v>
      </c>
      <c r="B12" s="54">
        <f t="shared" si="2"/>
        <v>1.01</v>
      </c>
      <c r="C12" s="55">
        <f t="shared" si="0"/>
        <v>1.02</v>
      </c>
      <c r="D12" s="55">
        <f t="shared" si="0"/>
        <v>1.03</v>
      </c>
      <c r="E12" s="56">
        <f t="shared" si="0"/>
        <v>1.05</v>
      </c>
    </row>
    <row r="13" spans="1:9" x14ac:dyDescent="0.5">
      <c r="A13" s="53">
        <f t="shared" si="1"/>
        <v>26</v>
      </c>
      <c r="B13" s="54">
        <f t="shared" si="2"/>
        <v>1.02</v>
      </c>
      <c r="C13" s="55">
        <f t="shared" si="0"/>
        <v>1.03</v>
      </c>
      <c r="D13" s="55">
        <f t="shared" si="0"/>
        <v>1.04</v>
      </c>
      <c r="E13" s="56">
        <f t="shared" si="0"/>
        <v>1.06</v>
      </c>
    </row>
    <row r="14" spans="1:9" x14ac:dyDescent="0.5">
      <c r="A14" s="53">
        <f t="shared" si="1"/>
        <v>27</v>
      </c>
      <c r="B14" s="54">
        <f t="shared" si="2"/>
        <v>1.02</v>
      </c>
      <c r="C14" s="55">
        <f t="shared" si="0"/>
        <v>1.03</v>
      </c>
      <c r="D14" s="55">
        <f t="shared" si="0"/>
        <v>1.05</v>
      </c>
      <c r="E14" s="56">
        <f t="shared" si="0"/>
        <v>1.07</v>
      </c>
    </row>
    <row r="15" spans="1:9" x14ac:dyDescent="0.5">
      <c r="A15" s="53">
        <f t="shared" si="1"/>
        <v>28</v>
      </c>
      <c r="B15" s="54">
        <f t="shared" si="2"/>
        <v>1.02</v>
      </c>
      <c r="C15" s="55">
        <f t="shared" si="0"/>
        <v>1.04</v>
      </c>
      <c r="D15" s="55">
        <f t="shared" si="0"/>
        <v>1.05</v>
      </c>
      <c r="E15" s="56">
        <f t="shared" si="0"/>
        <v>1.08</v>
      </c>
    </row>
    <row r="16" spans="1:9" x14ac:dyDescent="0.5">
      <c r="A16" s="53">
        <f t="shared" si="1"/>
        <v>29</v>
      </c>
      <c r="B16" s="54">
        <f t="shared" si="2"/>
        <v>1.03</v>
      </c>
      <c r="C16" s="55">
        <f t="shared" si="0"/>
        <v>1.04</v>
      </c>
      <c r="D16" s="55">
        <f t="shared" si="0"/>
        <v>1.06</v>
      </c>
      <c r="E16" s="56">
        <f t="shared" si="0"/>
        <v>1.0900000000000001</v>
      </c>
    </row>
    <row r="17" spans="1:5" x14ac:dyDescent="0.5">
      <c r="A17" s="53">
        <f t="shared" si="1"/>
        <v>30</v>
      </c>
      <c r="B17" s="54">
        <f t="shared" si="2"/>
        <v>1.03</v>
      </c>
      <c r="C17" s="55">
        <f t="shared" si="0"/>
        <v>1.05</v>
      </c>
      <c r="D17" s="55">
        <f t="shared" si="0"/>
        <v>1.06</v>
      </c>
      <c r="E17" s="56">
        <f t="shared" si="0"/>
        <v>1.1000000000000001</v>
      </c>
    </row>
    <row r="18" spans="1:5" x14ac:dyDescent="0.5">
      <c r="A18" s="53">
        <f t="shared" si="1"/>
        <v>31</v>
      </c>
      <c r="B18" s="54">
        <f t="shared" si="2"/>
        <v>1.03</v>
      </c>
      <c r="C18" s="55">
        <f t="shared" si="0"/>
        <v>1.05</v>
      </c>
      <c r="D18" s="55">
        <f t="shared" si="0"/>
        <v>1.07</v>
      </c>
      <c r="E18" s="56">
        <f t="shared" si="0"/>
        <v>1.1100000000000001</v>
      </c>
    </row>
    <row r="19" spans="1:5" x14ac:dyDescent="0.5">
      <c r="A19" s="53">
        <f t="shared" si="1"/>
        <v>32</v>
      </c>
      <c r="B19" s="54">
        <f t="shared" si="2"/>
        <v>1.03</v>
      </c>
      <c r="C19" s="55">
        <f t="shared" si="0"/>
        <v>1.05</v>
      </c>
      <c r="D19" s="55">
        <f t="shared" si="0"/>
        <v>1.08</v>
      </c>
      <c r="E19" s="56">
        <f t="shared" si="0"/>
        <v>1.1200000000000001</v>
      </c>
    </row>
    <row r="20" spans="1:5" x14ac:dyDescent="0.5">
      <c r="A20" s="53">
        <f t="shared" si="1"/>
        <v>33</v>
      </c>
      <c r="B20" s="54">
        <f t="shared" si="2"/>
        <v>1.04</v>
      </c>
      <c r="C20" s="55">
        <f t="shared" si="0"/>
        <v>1.06</v>
      </c>
      <c r="D20" s="55">
        <f t="shared" si="0"/>
        <v>1.08</v>
      </c>
      <c r="E20" s="56">
        <f t="shared" si="0"/>
        <v>1.1299999999999999</v>
      </c>
    </row>
    <row r="21" spans="1:5" x14ac:dyDescent="0.5">
      <c r="A21" s="53">
        <f t="shared" si="1"/>
        <v>34</v>
      </c>
      <c r="B21" s="54">
        <f t="shared" si="2"/>
        <v>1.04</v>
      </c>
      <c r="C21" s="55">
        <f t="shared" si="0"/>
        <v>1.06</v>
      </c>
      <c r="D21" s="55">
        <f t="shared" si="0"/>
        <v>1.0900000000000001</v>
      </c>
      <c r="E21" s="56">
        <f t="shared" si="0"/>
        <v>1.1399999999999999</v>
      </c>
    </row>
    <row r="22" spans="1:5" x14ac:dyDescent="0.5">
      <c r="A22" s="53">
        <f t="shared" si="1"/>
        <v>35</v>
      </c>
      <c r="B22" s="54">
        <f t="shared" si="2"/>
        <v>1.04</v>
      </c>
      <c r="C22" s="55">
        <f t="shared" si="0"/>
        <v>1.07</v>
      </c>
      <c r="D22" s="55">
        <f t="shared" si="0"/>
        <v>1.1000000000000001</v>
      </c>
      <c r="E22" s="56">
        <f t="shared" si="0"/>
        <v>1.1499999999999999</v>
      </c>
    </row>
    <row r="23" spans="1:5" x14ac:dyDescent="0.5">
      <c r="A23" s="53">
        <f t="shared" si="1"/>
        <v>36</v>
      </c>
      <c r="B23" s="54">
        <f t="shared" si="2"/>
        <v>1.04</v>
      </c>
      <c r="C23" s="55">
        <f t="shared" si="0"/>
        <v>1.07</v>
      </c>
      <c r="D23" s="55">
        <f t="shared" si="0"/>
        <v>1.1000000000000001</v>
      </c>
      <c r="E23" s="56">
        <f t="shared" si="0"/>
        <v>1.1599999999999999</v>
      </c>
    </row>
    <row r="24" spans="1:5" x14ac:dyDescent="0.5">
      <c r="A24" s="53">
        <f t="shared" si="1"/>
        <v>37</v>
      </c>
      <c r="B24" s="54">
        <f t="shared" si="2"/>
        <v>1.05</v>
      </c>
      <c r="C24" s="55">
        <f t="shared" si="0"/>
        <v>1.08</v>
      </c>
      <c r="D24" s="55">
        <f t="shared" si="0"/>
        <v>1.1100000000000001</v>
      </c>
      <c r="E24" s="56">
        <f t="shared" si="0"/>
        <v>1.17</v>
      </c>
    </row>
    <row r="25" spans="1:5" x14ac:dyDescent="0.5">
      <c r="A25" s="53">
        <f t="shared" si="1"/>
        <v>38</v>
      </c>
      <c r="B25" s="54">
        <f t="shared" si="2"/>
        <v>1.05</v>
      </c>
      <c r="C25" s="55">
        <f t="shared" si="0"/>
        <v>1.08</v>
      </c>
      <c r="D25" s="55">
        <f t="shared" si="0"/>
        <v>1.1200000000000001</v>
      </c>
      <c r="E25" s="56">
        <f t="shared" si="0"/>
        <v>1.18</v>
      </c>
    </row>
    <row r="26" spans="1:5" x14ac:dyDescent="0.5">
      <c r="A26" s="53">
        <f t="shared" si="1"/>
        <v>39</v>
      </c>
      <c r="B26" s="54">
        <f t="shared" si="2"/>
        <v>1.05</v>
      </c>
      <c r="C26" s="55">
        <f t="shared" si="0"/>
        <v>1.0900000000000001</v>
      </c>
      <c r="D26" s="55">
        <f t="shared" si="0"/>
        <v>1.1200000000000001</v>
      </c>
      <c r="E26" s="56">
        <f t="shared" si="0"/>
        <v>1.19</v>
      </c>
    </row>
    <row r="27" spans="1:5" x14ac:dyDescent="0.5">
      <c r="A27" s="53">
        <f t="shared" si="1"/>
        <v>40</v>
      </c>
      <c r="B27" s="54">
        <f t="shared" si="2"/>
        <v>1.06</v>
      </c>
      <c r="C27" s="55">
        <f t="shared" si="2"/>
        <v>1.0900000000000001</v>
      </c>
      <c r="D27" s="55">
        <f t="shared" si="2"/>
        <v>1.1299999999999999</v>
      </c>
      <c r="E27" s="56">
        <f t="shared" si="2"/>
        <v>1.2</v>
      </c>
    </row>
    <row r="28" spans="1:5" x14ac:dyDescent="0.5">
      <c r="A28" s="53">
        <f t="shared" si="1"/>
        <v>41</v>
      </c>
      <c r="B28" s="54">
        <f t="shared" ref="B28:E47" si="3">ROUND(   0.5*(1+B$6*(($A28/(PI()*(210000/B$4)^0.5))-0.2)+($A28/(PI()*(210000/B$4)^0.5))^2)
+((0.5*(1+B$6*(($A28/(PI()*(210000/B$4)^0.5))-0.2)+($A28/(PI()*(210000/B$4)^0.5))^2))^2
-($A28/(PI()*(210000/B$4)^0.5))^2)^0.5,2)</f>
        <v>1.06</v>
      </c>
      <c r="C28" s="55">
        <f t="shared" si="3"/>
        <v>1.1000000000000001</v>
      </c>
      <c r="D28" s="55">
        <f t="shared" si="3"/>
        <v>1.1399999999999999</v>
      </c>
      <c r="E28" s="56">
        <f t="shared" si="3"/>
        <v>1.21</v>
      </c>
    </row>
    <row r="29" spans="1:5" x14ac:dyDescent="0.5">
      <c r="A29" s="53">
        <f t="shared" si="1"/>
        <v>42</v>
      </c>
      <c r="B29" s="54">
        <f t="shared" si="3"/>
        <v>1.06</v>
      </c>
      <c r="C29" s="55">
        <f t="shared" si="3"/>
        <v>1.1000000000000001</v>
      </c>
      <c r="D29" s="55">
        <f t="shared" si="3"/>
        <v>1.1499999999999999</v>
      </c>
      <c r="E29" s="56">
        <f t="shared" si="3"/>
        <v>1.22</v>
      </c>
    </row>
    <row r="30" spans="1:5" x14ac:dyDescent="0.5">
      <c r="A30" s="53">
        <f t="shared" si="1"/>
        <v>43</v>
      </c>
      <c r="B30" s="54">
        <f t="shared" si="3"/>
        <v>1.07</v>
      </c>
      <c r="C30" s="55">
        <f t="shared" si="3"/>
        <v>1.1100000000000001</v>
      </c>
      <c r="D30" s="55">
        <f t="shared" si="3"/>
        <v>1.1499999999999999</v>
      </c>
      <c r="E30" s="56">
        <f t="shared" si="3"/>
        <v>1.24</v>
      </c>
    </row>
    <row r="31" spans="1:5" x14ac:dyDescent="0.5">
      <c r="A31" s="53">
        <f t="shared" si="1"/>
        <v>44</v>
      </c>
      <c r="B31" s="54">
        <f t="shared" si="3"/>
        <v>1.07</v>
      </c>
      <c r="C31" s="55">
        <f t="shared" si="3"/>
        <v>1.1100000000000001</v>
      </c>
      <c r="D31" s="55">
        <f t="shared" si="3"/>
        <v>1.1599999999999999</v>
      </c>
      <c r="E31" s="56">
        <f t="shared" si="3"/>
        <v>1.25</v>
      </c>
    </row>
    <row r="32" spans="1:5" x14ac:dyDescent="0.5">
      <c r="A32" s="53">
        <f t="shared" si="1"/>
        <v>45</v>
      </c>
      <c r="B32" s="54">
        <f t="shared" si="3"/>
        <v>1.07</v>
      </c>
      <c r="C32" s="55">
        <f t="shared" si="3"/>
        <v>1.1200000000000001</v>
      </c>
      <c r="D32" s="55">
        <f t="shared" si="3"/>
        <v>1.17</v>
      </c>
      <c r="E32" s="56">
        <f t="shared" si="3"/>
        <v>1.26</v>
      </c>
    </row>
    <row r="33" spans="1:5" x14ac:dyDescent="0.5">
      <c r="A33" s="53">
        <f t="shared" si="1"/>
        <v>46</v>
      </c>
      <c r="B33" s="54">
        <f t="shared" si="3"/>
        <v>1.08</v>
      </c>
      <c r="C33" s="55">
        <f t="shared" si="3"/>
        <v>1.1299999999999999</v>
      </c>
      <c r="D33" s="55">
        <f t="shared" si="3"/>
        <v>1.18</v>
      </c>
      <c r="E33" s="56">
        <f t="shared" si="3"/>
        <v>1.27</v>
      </c>
    </row>
    <row r="34" spans="1:5" x14ac:dyDescent="0.5">
      <c r="A34" s="53">
        <f t="shared" si="1"/>
        <v>47</v>
      </c>
      <c r="B34" s="54">
        <f t="shared" si="3"/>
        <v>1.08</v>
      </c>
      <c r="C34" s="55">
        <f t="shared" si="3"/>
        <v>1.1299999999999999</v>
      </c>
      <c r="D34" s="55">
        <f t="shared" si="3"/>
        <v>1.19</v>
      </c>
      <c r="E34" s="56">
        <f t="shared" si="3"/>
        <v>1.28</v>
      </c>
    </row>
    <row r="35" spans="1:5" x14ac:dyDescent="0.5">
      <c r="A35" s="53">
        <f t="shared" si="1"/>
        <v>48</v>
      </c>
      <c r="B35" s="54">
        <f t="shared" si="3"/>
        <v>1.0900000000000001</v>
      </c>
      <c r="C35" s="55">
        <f t="shared" si="3"/>
        <v>1.1399999999999999</v>
      </c>
      <c r="D35" s="55">
        <f t="shared" si="3"/>
        <v>1.2</v>
      </c>
      <c r="E35" s="56">
        <f t="shared" si="3"/>
        <v>1.3</v>
      </c>
    </row>
    <row r="36" spans="1:5" x14ac:dyDescent="0.5">
      <c r="A36" s="53">
        <f t="shared" si="1"/>
        <v>49</v>
      </c>
      <c r="B36" s="54">
        <f t="shared" si="3"/>
        <v>1.0900000000000001</v>
      </c>
      <c r="C36" s="55">
        <f t="shared" si="3"/>
        <v>1.1399999999999999</v>
      </c>
      <c r="D36" s="55">
        <f t="shared" si="3"/>
        <v>1.2</v>
      </c>
      <c r="E36" s="56">
        <f t="shared" si="3"/>
        <v>1.31</v>
      </c>
    </row>
    <row r="37" spans="1:5" x14ac:dyDescent="0.5">
      <c r="A37" s="53">
        <f t="shared" si="1"/>
        <v>50</v>
      </c>
      <c r="B37" s="54">
        <f t="shared" si="3"/>
        <v>1.0900000000000001</v>
      </c>
      <c r="C37" s="55">
        <f t="shared" si="3"/>
        <v>1.1499999999999999</v>
      </c>
      <c r="D37" s="55">
        <f t="shared" si="3"/>
        <v>1.21</v>
      </c>
      <c r="E37" s="56">
        <f t="shared" si="3"/>
        <v>1.32</v>
      </c>
    </row>
    <row r="38" spans="1:5" x14ac:dyDescent="0.5">
      <c r="A38" s="53">
        <f t="shared" si="1"/>
        <v>51</v>
      </c>
      <c r="B38" s="54">
        <f t="shared" si="3"/>
        <v>1.1000000000000001</v>
      </c>
      <c r="C38" s="55">
        <f t="shared" si="3"/>
        <v>1.1599999999999999</v>
      </c>
      <c r="D38" s="55">
        <f t="shared" si="3"/>
        <v>1.22</v>
      </c>
      <c r="E38" s="56">
        <f t="shared" si="3"/>
        <v>1.33</v>
      </c>
    </row>
    <row r="39" spans="1:5" x14ac:dyDescent="0.5">
      <c r="A39" s="53">
        <f t="shared" si="1"/>
        <v>52</v>
      </c>
      <c r="B39" s="54">
        <f t="shared" si="3"/>
        <v>1.1000000000000001</v>
      </c>
      <c r="C39" s="55">
        <f t="shared" si="3"/>
        <v>1.1599999999999999</v>
      </c>
      <c r="D39" s="55">
        <f t="shared" si="3"/>
        <v>1.23</v>
      </c>
      <c r="E39" s="56">
        <f t="shared" si="3"/>
        <v>1.35</v>
      </c>
    </row>
    <row r="40" spans="1:5" x14ac:dyDescent="0.5">
      <c r="A40" s="53">
        <f t="shared" si="1"/>
        <v>53</v>
      </c>
      <c r="B40" s="54">
        <f t="shared" si="3"/>
        <v>1.1100000000000001</v>
      </c>
      <c r="C40" s="55">
        <f t="shared" si="3"/>
        <v>1.17</v>
      </c>
      <c r="D40" s="55">
        <f t="shared" si="3"/>
        <v>1.24</v>
      </c>
      <c r="E40" s="56">
        <f t="shared" si="3"/>
        <v>1.36</v>
      </c>
    </row>
    <row r="41" spans="1:5" x14ac:dyDescent="0.5">
      <c r="A41" s="53">
        <f t="shared" si="1"/>
        <v>54</v>
      </c>
      <c r="B41" s="54">
        <f t="shared" si="3"/>
        <v>1.1100000000000001</v>
      </c>
      <c r="C41" s="55">
        <f t="shared" si="3"/>
        <v>1.18</v>
      </c>
      <c r="D41" s="55">
        <f t="shared" si="3"/>
        <v>1.25</v>
      </c>
      <c r="E41" s="56">
        <f t="shared" si="3"/>
        <v>1.38</v>
      </c>
    </row>
    <row r="42" spans="1:5" x14ac:dyDescent="0.5">
      <c r="A42" s="53">
        <f t="shared" si="1"/>
        <v>55</v>
      </c>
      <c r="B42" s="54">
        <f t="shared" si="3"/>
        <v>1.1200000000000001</v>
      </c>
      <c r="C42" s="55">
        <f t="shared" si="3"/>
        <v>1.18</v>
      </c>
      <c r="D42" s="55">
        <f t="shared" si="3"/>
        <v>1.26</v>
      </c>
      <c r="E42" s="56">
        <f t="shared" si="3"/>
        <v>1.39</v>
      </c>
    </row>
    <row r="43" spans="1:5" x14ac:dyDescent="0.5">
      <c r="A43" s="53">
        <f t="shared" si="1"/>
        <v>56</v>
      </c>
      <c r="B43" s="54">
        <f t="shared" si="3"/>
        <v>1.1200000000000001</v>
      </c>
      <c r="C43" s="55">
        <f t="shared" si="3"/>
        <v>1.19</v>
      </c>
      <c r="D43" s="55">
        <f t="shared" si="3"/>
        <v>1.27</v>
      </c>
      <c r="E43" s="56">
        <f t="shared" si="3"/>
        <v>1.4</v>
      </c>
    </row>
    <row r="44" spans="1:5" x14ac:dyDescent="0.5">
      <c r="A44" s="53">
        <f t="shared" si="1"/>
        <v>57</v>
      </c>
      <c r="B44" s="54">
        <f t="shared" si="3"/>
        <v>1.1299999999999999</v>
      </c>
      <c r="C44" s="55">
        <f t="shared" si="3"/>
        <v>1.2</v>
      </c>
      <c r="D44" s="55">
        <f t="shared" si="3"/>
        <v>1.28</v>
      </c>
      <c r="E44" s="56">
        <f t="shared" si="3"/>
        <v>1.42</v>
      </c>
    </row>
    <row r="45" spans="1:5" x14ac:dyDescent="0.5">
      <c r="A45" s="53">
        <f t="shared" si="1"/>
        <v>58</v>
      </c>
      <c r="B45" s="54">
        <f t="shared" si="3"/>
        <v>1.1299999999999999</v>
      </c>
      <c r="C45" s="55">
        <f t="shared" si="3"/>
        <v>1.21</v>
      </c>
      <c r="D45" s="55">
        <f t="shared" si="3"/>
        <v>1.29</v>
      </c>
      <c r="E45" s="56">
        <f t="shared" si="3"/>
        <v>1.43</v>
      </c>
    </row>
    <row r="46" spans="1:5" x14ac:dyDescent="0.5">
      <c r="A46" s="53">
        <f t="shared" si="1"/>
        <v>59</v>
      </c>
      <c r="B46" s="54">
        <f t="shared" si="3"/>
        <v>1.1399999999999999</v>
      </c>
      <c r="C46" s="55">
        <f t="shared" si="3"/>
        <v>1.22</v>
      </c>
      <c r="D46" s="55">
        <f t="shared" si="3"/>
        <v>1.3</v>
      </c>
      <c r="E46" s="56">
        <f t="shared" si="3"/>
        <v>1.45</v>
      </c>
    </row>
    <row r="47" spans="1:5" x14ac:dyDescent="0.5">
      <c r="A47" s="53">
        <f t="shared" si="1"/>
        <v>60</v>
      </c>
      <c r="B47" s="54">
        <f t="shared" si="3"/>
        <v>1.1399999999999999</v>
      </c>
      <c r="C47" s="55">
        <f t="shared" si="3"/>
        <v>1.22</v>
      </c>
      <c r="D47" s="55">
        <f t="shared" si="3"/>
        <v>1.31</v>
      </c>
      <c r="E47" s="56">
        <f t="shared" si="3"/>
        <v>1.46</v>
      </c>
    </row>
    <row r="48" spans="1:5" x14ac:dyDescent="0.5">
      <c r="A48" s="53">
        <f t="shared" si="1"/>
        <v>61</v>
      </c>
      <c r="B48" s="54">
        <f t="shared" ref="B48:E67" si="4">ROUND(   0.5*(1+B$6*(($A48/(PI()*(210000/B$4)^0.5))-0.2)+($A48/(PI()*(210000/B$4)^0.5))^2)
+((0.5*(1+B$6*(($A48/(PI()*(210000/B$4)^0.5))-0.2)+($A48/(PI()*(210000/B$4)^0.5))^2))^2
-($A48/(PI()*(210000/B$4)^0.5))^2)^0.5,2)</f>
        <v>1.1499999999999999</v>
      </c>
      <c r="C48" s="55">
        <f t="shared" si="4"/>
        <v>1.23</v>
      </c>
      <c r="D48" s="55">
        <f t="shared" si="4"/>
        <v>1.32</v>
      </c>
      <c r="E48" s="56">
        <f t="shared" si="4"/>
        <v>1.48</v>
      </c>
    </row>
    <row r="49" spans="1:5" x14ac:dyDescent="0.5">
      <c r="A49" s="53">
        <f t="shared" si="1"/>
        <v>62</v>
      </c>
      <c r="B49" s="54">
        <f t="shared" si="4"/>
        <v>1.1599999999999999</v>
      </c>
      <c r="C49" s="55">
        <f t="shared" si="4"/>
        <v>1.24</v>
      </c>
      <c r="D49" s="55">
        <f t="shared" si="4"/>
        <v>1.33</v>
      </c>
      <c r="E49" s="56">
        <f t="shared" si="4"/>
        <v>1.49</v>
      </c>
    </row>
    <row r="50" spans="1:5" x14ac:dyDescent="0.5">
      <c r="A50" s="53">
        <f t="shared" si="1"/>
        <v>63</v>
      </c>
      <c r="B50" s="54">
        <f t="shared" si="4"/>
        <v>1.1599999999999999</v>
      </c>
      <c r="C50" s="55">
        <f t="shared" si="4"/>
        <v>1.25</v>
      </c>
      <c r="D50" s="55">
        <f t="shared" si="4"/>
        <v>1.35</v>
      </c>
      <c r="E50" s="56">
        <f t="shared" si="4"/>
        <v>1.51</v>
      </c>
    </row>
    <row r="51" spans="1:5" x14ac:dyDescent="0.5">
      <c r="A51" s="53">
        <f t="shared" si="1"/>
        <v>64</v>
      </c>
      <c r="B51" s="54">
        <f t="shared" si="4"/>
        <v>1.17</v>
      </c>
      <c r="C51" s="55">
        <f t="shared" si="4"/>
        <v>1.26</v>
      </c>
      <c r="D51" s="55">
        <f t="shared" si="4"/>
        <v>1.36</v>
      </c>
      <c r="E51" s="56">
        <f t="shared" si="4"/>
        <v>1.53</v>
      </c>
    </row>
    <row r="52" spans="1:5" x14ac:dyDescent="0.5">
      <c r="A52" s="53">
        <f t="shared" si="1"/>
        <v>65</v>
      </c>
      <c r="B52" s="54">
        <f t="shared" si="4"/>
        <v>1.17</v>
      </c>
      <c r="C52" s="55">
        <f t="shared" si="4"/>
        <v>1.27</v>
      </c>
      <c r="D52" s="55">
        <f t="shared" si="4"/>
        <v>1.37</v>
      </c>
      <c r="E52" s="56">
        <f t="shared" si="4"/>
        <v>1.54</v>
      </c>
    </row>
    <row r="53" spans="1:5" x14ac:dyDescent="0.5">
      <c r="A53" s="53">
        <f t="shared" si="1"/>
        <v>66</v>
      </c>
      <c r="B53" s="54">
        <f t="shared" si="4"/>
        <v>1.18</v>
      </c>
      <c r="C53" s="55">
        <f t="shared" si="4"/>
        <v>1.28</v>
      </c>
      <c r="D53" s="55">
        <f t="shared" si="4"/>
        <v>1.38</v>
      </c>
      <c r="E53" s="56">
        <f t="shared" si="4"/>
        <v>1.56</v>
      </c>
    </row>
    <row r="54" spans="1:5" x14ac:dyDescent="0.5">
      <c r="A54" s="53">
        <f t="shared" si="1"/>
        <v>67</v>
      </c>
      <c r="B54" s="54">
        <f t="shared" si="4"/>
        <v>1.19</v>
      </c>
      <c r="C54" s="55">
        <f t="shared" si="4"/>
        <v>1.29</v>
      </c>
      <c r="D54" s="55">
        <f t="shared" si="4"/>
        <v>1.4</v>
      </c>
      <c r="E54" s="56">
        <f t="shared" si="4"/>
        <v>1.58</v>
      </c>
    </row>
    <row r="55" spans="1:5" x14ac:dyDescent="0.5">
      <c r="A55" s="53">
        <f t="shared" si="1"/>
        <v>68</v>
      </c>
      <c r="B55" s="54">
        <f t="shared" si="4"/>
        <v>1.2</v>
      </c>
      <c r="C55" s="55">
        <f t="shared" si="4"/>
        <v>1.3</v>
      </c>
      <c r="D55" s="55">
        <f t="shared" si="4"/>
        <v>1.41</v>
      </c>
      <c r="E55" s="56">
        <f t="shared" si="4"/>
        <v>1.59</v>
      </c>
    </row>
    <row r="56" spans="1:5" x14ac:dyDescent="0.5">
      <c r="A56" s="53">
        <f t="shared" si="1"/>
        <v>69</v>
      </c>
      <c r="B56" s="54">
        <f t="shared" si="4"/>
        <v>1.2</v>
      </c>
      <c r="C56" s="55">
        <f t="shared" si="4"/>
        <v>1.31</v>
      </c>
      <c r="D56" s="55">
        <f t="shared" si="4"/>
        <v>1.42</v>
      </c>
      <c r="E56" s="56">
        <f t="shared" si="4"/>
        <v>1.61</v>
      </c>
    </row>
    <row r="57" spans="1:5" x14ac:dyDescent="0.5">
      <c r="A57" s="53">
        <f t="shared" si="1"/>
        <v>70</v>
      </c>
      <c r="B57" s="54">
        <f t="shared" si="4"/>
        <v>1.21</v>
      </c>
      <c r="C57" s="55">
        <f t="shared" si="4"/>
        <v>1.32</v>
      </c>
      <c r="D57" s="55">
        <f t="shared" si="4"/>
        <v>1.44</v>
      </c>
      <c r="E57" s="56">
        <f t="shared" si="4"/>
        <v>1.63</v>
      </c>
    </row>
    <row r="58" spans="1:5" x14ac:dyDescent="0.5">
      <c r="A58" s="53">
        <f t="shared" si="1"/>
        <v>71</v>
      </c>
      <c r="B58" s="54">
        <f t="shared" si="4"/>
        <v>1.22</v>
      </c>
      <c r="C58" s="55">
        <f t="shared" si="4"/>
        <v>1.33</v>
      </c>
      <c r="D58" s="55">
        <f t="shared" si="4"/>
        <v>1.45</v>
      </c>
      <c r="E58" s="56">
        <f t="shared" si="4"/>
        <v>1.65</v>
      </c>
    </row>
    <row r="59" spans="1:5" x14ac:dyDescent="0.5">
      <c r="A59" s="53">
        <f t="shared" si="1"/>
        <v>72</v>
      </c>
      <c r="B59" s="54">
        <f t="shared" si="4"/>
        <v>1.23</v>
      </c>
      <c r="C59" s="55">
        <f t="shared" si="4"/>
        <v>1.34</v>
      </c>
      <c r="D59" s="55">
        <f t="shared" si="4"/>
        <v>1.46</v>
      </c>
      <c r="E59" s="56">
        <f t="shared" si="4"/>
        <v>1.67</v>
      </c>
    </row>
    <row r="60" spans="1:5" x14ac:dyDescent="0.5">
      <c r="A60" s="53">
        <f t="shared" si="1"/>
        <v>73</v>
      </c>
      <c r="B60" s="54">
        <f t="shared" si="4"/>
        <v>1.24</v>
      </c>
      <c r="C60" s="55">
        <f t="shared" si="4"/>
        <v>1.35</v>
      </c>
      <c r="D60" s="55">
        <f t="shared" si="4"/>
        <v>1.48</v>
      </c>
      <c r="E60" s="56">
        <f t="shared" si="4"/>
        <v>1.68</v>
      </c>
    </row>
    <row r="61" spans="1:5" x14ac:dyDescent="0.5">
      <c r="A61" s="53">
        <f t="shared" si="1"/>
        <v>74</v>
      </c>
      <c r="B61" s="54">
        <f t="shared" si="4"/>
        <v>1.25</v>
      </c>
      <c r="C61" s="55">
        <f t="shared" si="4"/>
        <v>1.37</v>
      </c>
      <c r="D61" s="55">
        <f t="shared" si="4"/>
        <v>1.49</v>
      </c>
      <c r="E61" s="56">
        <f t="shared" si="4"/>
        <v>1.7</v>
      </c>
    </row>
    <row r="62" spans="1:5" x14ac:dyDescent="0.5">
      <c r="A62" s="53">
        <f t="shared" si="1"/>
        <v>75</v>
      </c>
      <c r="B62" s="54">
        <f t="shared" si="4"/>
        <v>1.26</v>
      </c>
      <c r="C62" s="55">
        <f t="shared" si="4"/>
        <v>1.38</v>
      </c>
      <c r="D62" s="55">
        <f t="shared" si="4"/>
        <v>1.51</v>
      </c>
      <c r="E62" s="56">
        <f t="shared" si="4"/>
        <v>1.72</v>
      </c>
    </row>
    <row r="63" spans="1:5" x14ac:dyDescent="0.5">
      <c r="A63" s="53">
        <f t="shared" si="1"/>
        <v>76</v>
      </c>
      <c r="B63" s="54">
        <f t="shared" si="4"/>
        <v>1.27</v>
      </c>
      <c r="C63" s="55">
        <f t="shared" si="4"/>
        <v>1.39</v>
      </c>
      <c r="D63" s="55">
        <f t="shared" si="4"/>
        <v>1.52</v>
      </c>
      <c r="E63" s="56">
        <f t="shared" si="4"/>
        <v>1.74</v>
      </c>
    </row>
    <row r="64" spans="1:5" x14ac:dyDescent="0.5">
      <c r="A64" s="53">
        <f t="shared" si="1"/>
        <v>77</v>
      </c>
      <c r="B64" s="54">
        <f t="shared" si="4"/>
        <v>1.28</v>
      </c>
      <c r="C64" s="55">
        <f t="shared" si="4"/>
        <v>1.4</v>
      </c>
      <c r="D64" s="55">
        <f t="shared" si="4"/>
        <v>1.54</v>
      </c>
      <c r="E64" s="56">
        <f t="shared" si="4"/>
        <v>1.76</v>
      </c>
    </row>
    <row r="65" spans="1:5" x14ac:dyDescent="0.5">
      <c r="A65" s="53">
        <f t="shared" si="1"/>
        <v>78</v>
      </c>
      <c r="B65" s="54">
        <f t="shared" si="4"/>
        <v>1.29</v>
      </c>
      <c r="C65" s="55">
        <f t="shared" si="4"/>
        <v>1.42</v>
      </c>
      <c r="D65" s="55">
        <f t="shared" si="4"/>
        <v>1.56</v>
      </c>
      <c r="E65" s="56">
        <f t="shared" si="4"/>
        <v>1.78</v>
      </c>
    </row>
    <row r="66" spans="1:5" x14ac:dyDescent="0.5">
      <c r="A66" s="53">
        <f t="shared" si="1"/>
        <v>79</v>
      </c>
      <c r="B66" s="54">
        <f t="shared" si="4"/>
        <v>1.3</v>
      </c>
      <c r="C66" s="55">
        <f t="shared" si="4"/>
        <v>1.43</v>
      </c>
      <c r="D66" s="55">
        <f t="shared" si="4"/>
        <v>1.57</v>
      </c>
      <c r="E66" s="56">
        <f t="shared" si="4"/>
        <v>1.8</v>
      </c>
    </row>
    <row r="67" spans="1:5" x14ac:dyDescent="0.5">
      <c r="A67" s="53">
        <f t="shared" si="1"/>
        <v>80</v>
      </c>
      <c r="B67" s="54">
        <f t="shared" si="4"/>
        <v>1.31</v>
      </c>
      <c r="C67" s="55">
        <f t="shared" si="4"/>
        <v>1.45</v>
      </c>
      <c r="D67" s="55">
        <f t="shared" si="4"/>
        <v>1.59</v>
      </c>
      <c r="E67" s="56">
        <f t="shared" si="4"/>
        <v>1.82</v>
      </c>
    </row>
    <row r="68" spans="1:5" x14ac:dyDescent="0.5">
      <c r="A68" s="53">
        <f t="shared" si="1"/>
        <v>81</v>
      </c>
      <c r="B68" s="54">
        <f t="shared" ref="B68:E87" si="5">ROUND(   0.5*(1+B$6*(($A68/(PI()*(210000/B$4)^0.5))-0.2)+($A68/(PI()*(210000/B$4)^0.5))^2)
+((0.5*(1+B$6*(($A68/(PI()*(210000/B$4)^0.5))-0.2)+($A68/(PI()*(210000/B$4)^0.5))^2))^2
-($A68/(PI()*(210000/B$4)^0.5))^2)^0.5,2)</f>
        <v>1.32</v>
      </c>
      <c r="C68" s="55">
        <f t="shared" si="5"/>
        <v>1.46</v>
      </c>
      <c r="D68" s="55">
        <f t="shared" si="5"/>
        <v>1.61</v>
      </c>
      <c r="E68" s="56">
        <f t="shared" si="5"/>
        <v>1.84</v>
      </c>
    </row>
    <row r="69" spans="1:5" x14ac:dyDescent="0.5">
      <c r="A69" s="53">
        <f t="shared" si="1"/>
        <v>82</v>
      </c>
      <c r="B69" s="54">
        <f t="shared" si="5"/>
        <v>1.33</v>
      </c>
      <c r="C69" s="55">
        <f t="shared" si="5"/>
        <v>1.47</v>
      </c>
      <c r="D69" s="55">
        <f t="shared" si="5"/>
        <v>1.62</v>
      </c>
      <c r="E69" s="56">
        <f t="shared" si="5"/>
        <v>1.87</v>
      </c>
    </row>
    <row r="70" spans="1:5" x14ac:dyDescent="0.5">
      <c r="A70" s="53">
        <f t="shared" si="1"/>
        <v>83</v>
      </c>
      <c r="B70" s="54">
        <f t="shared" si="5"/>
        <v>1.34</v>
      </c>
      <c r="C70" s="55">
        <f t="shared" si="5"/>
        <v>1.49</v>
      </c>
      <c r="D70" s="55">
        <f t="shared" si="5"/>
        <v>1.64</v>
      </c>
      <c r="E70" s="56">
        <f t="shared" si="5"/>
        <v>1.89</v>
      </c>
    </row>
    <row r="71" spans="1:5" x14ac:dyDescent="0.5">
      <c r="A71" s="53">
        <f t="shared" si="1"/>
        <v>84</v>
      </c>
      <c r="B71" s="54">
        <f t="shared" si="5"/>
        <v>1.36</v>
      </c>
      <c r="C71" s="55">
        <f t="shared" si="5"/>
        <v>1.5</v>
      </c>
      <c r="D71" s="55">
        <f t="shared" si="5"/>
        <v>1.66</v>
      </c>
      <c r="E71" s="56">
        <f t="shared" si="5"/>
        <v>1.91</v>
      </c>
    </row>
    <row r="72" spans="1:5" x14ac:dyDescent="0.5">
      <c r="A72" s="53">
        <f t="shared" ref="A72:A135" si="6">ROW()+13</f>
        <v>85</v>
      </c>
      <c r="B72" s="54">
        <f t="shared" si="5"/>
        <v>1.37</v>
      </c>
      <c r="C72" s="55">
        <f t="shared" si="5"/>
        <v>1.52</v>
      </c>
      <c r="D72" s="55">
        <f t="shared" si="5"/>
        <v>1.68</v>
      </c>
      <c r="E72" s="56">
        <f t="shared" si="5"/>
        <v>1.93</v>
      </c>
    </row>
    <row r="73" spans="1:5" x14ac:dyDescent="0.5">
      <c r="A73" s="53">
        <f t="shared" si="6"/>
        <v>86</v>
      </c>
      <c r="B73" s="54">
        <f t="shared" si="5"/>
        <v>1.38</v>
      </c>
      <c r="C73" s="55">
        <f t="shared" si="5"/>
        <v>1.54</v>
      </c>
      <c r="D73" s="55">
        <f t="shared" si="5"/>
        <v>1.69</v>
      </c>
      <c r="E73" s="56">
        <f t="shared" si="5"/>
        <v>1.95</v>
      </c>
    </row>
    <row r="74" spans="1:5" x14ac:dyDescent="0.5">
      <c r="A74" s="53">
        <f t="shared" si="6"/>
        <v>87</v>
      </c>
      <c r="B74" s="54">
        <f t="shared" si="5"/>
        <v>1.4</v>
      </c>
      <c r="C74" s="55">
        <f t="shared" si="5"/>
        <v>1.55</v>
      </c>
      <c r="D74" s="55">
        <f t="shared" si="5"/>
        <v>1.71</v>
      </c>
      <c r="E74" s="56">
        <f t="shared" si="5"/>
        <v>1.98</v>
      </c>
    </row>
    <row r="75" spans="1:5" x14ac:dyDescent="0.5">
      <c r="A75" s="53">
        <f t="shared" si="6"/>
        <v>88</v>
      </c>
      <c r="B75" s="54">
        <f t="shared" si="5"/>
        <v>1.41</v>
      </c>
      <c r="C75" s="55">
        <f t="shared" si="5"/>
        <v>1.57</v>
      </c>
      <c r="D75" s="55">
        <f t="shared" si="5"/>
        <v>1.73</v>
      </c>
      <c r="E75" s="56">
        <f t="shared" si="5"/>
        <v>2</v>
      </c>
    </row>
    <row r="76" spans="1:5" x14ac:dyDescent="0.5">
      <c r="A76" s="53">
        <f t="shared" si="6"/>
        <v>89</v>
      </c>
      <c r="B76" s="54">
        <f t="shared" si="5"/>
        <v>1.42</v>
      </c>
      <c r="C76" s="55">
        <f t="shared" si="5"/>
        <v>1.59</v>
      </c>
      <c r="D76" s="55">
        <f t="shared" si="5"/>
        <v>1.75</v>
      </c>
      <c r="E76" s="56">
        <f t="shared" si="5"/>
        <v>2.02</v>
      </c>
    </row>
    <row r="77" spans="1:5" x14ac:dyDescent="0.5">
      <c r="A77" s="53">
        <f t="shared" si="6"/>
        <v>90</v>
      </c>
      <c r="B77" s="54">
        <f t="shared" si="5"/>
        <v>1.44</v>
      </c>
      <c r="C77" s="55">
        <f t="shared" si="5"/>
        <v>1.6</v>
      </c>
      <c r="D77" s="55">
        <f t="shared" si="5"/>
        <v>1.77</v>
      </c>
      <c r="E77" s="56">
        <f t="shared" si="5"/>
        <v>2.0499999999999998</v>
      </c>
    </row>
    <row r="78" spans="1:5" x14ac:dyDescent="0.5">
      <c r="A78" s="53">
        <f t="shared" si="6"/>
        <v>91</v>
      </c>
      <c r="B78" s="54">
        <f t="shared" si="5"/>
        <v>1.46</v>
      </c>
      <c r="C78" s="55">
        <f t="shared" si="5"/>
        <v>1.62</v>
      </c>
      <c r="D78" s="55">
        <f t="shared" si="5"/>
        <v>1.79</v>
      </c>
      <c r="E78" s="56">
        <f t="shared" si="5"/>
        <v>2.0699999999999998</v>
      </c>
    </row>
    <row r="79" spans="1:5" x14ac:dyDescent="0.5">
      <c r="A79" s="53">
        <f t="shared" si="6"/>
        <v>92</v>
      </c>
      <c r="B79" s="54">
        <f t="shared" si="5"/>
        <v>1.47</v>
      </c>
      <c r="C79" s="55">
        <f t="shared" si="5"/>
        <v>1.64</v>
      </c>
      <c r="D79" s="55">
        <f t="shared" si="5"/>
        <v>1.81</v>
      </c>
      <c r="E79" s="56">
        <f t="shared" si="5"/>
        <v>2.09</v>
      </c>
    </row>
    <row r="80" spans="1:5" x14ac:dyDescent="0.5">
      <c r="A80" s="53">
        <f t="shared" si="6"/>
        <v>93</v>
      </c>
      <c r="B80" s="54">
        <f t="shared" si="5"/>
        <v>1.49</v>
      </c>
      <c r="C80" s="55">
        <f t="shared" si="5"/>
        <v>1.66</v>
      </c>
      <c r="D80" s="55">
        <f t="shared" si="5"/>
        <v>1.83</v>
      </c>
      <c r="E80" s="56">
        <f t="shared" si="5"/>
        <v>2.12</v>
      </c>
    </row>
    <row r="81" spans="1:5" x14ac:dyDescent="0.5">
      <c r="A81" s="53">
        <f t="shared" si="6"/>
        <v>94</v>
      </c>
      <c r="B81" s="54">
        <f t="shared" si="5"/>
        <v>1.5</v>
      </c>
      <c r="C81" s="55">
        <f t="shared" si="5"/>
        <v>1.68</v>
      </c>
      <c r="D81" s="55">
        <f t="shared" si="5"/>
        <v>1.85</v>
      </c>
      <c r="E81" s="56">
        <f t="shared" si="5"/>
        <v>2.14</v>
      </c>
    </row>
    <row r="82" spans="1:5" x14ac:dyDescent="0.5">
      <c r="A82" s="53">
        <f t="shared" si="6"/>
        <v>95</v>
      </c>
      <c r="B82" s="54">
        <f t="shared" si="5"/>
        <v>1.52</v>
      </c>
      <c r="C82" s="55">
        <f t="shared" si="5"/>
        <v>1.7</v>
      </c>
      <c r="D82" s="55">
        <f t="shared" si="5"/>
        <v>1.88</v>
      </c>
      <c r="E82" s="56">
        <f t="shared" si="5"/>
        <v>2.17</v>
      </c>
    </row>
    <row r="83" spans="1:5" x14ac:dyDescent="0.5">
      <c r="A83" s="53">
        <f t="shared" si="6"/>
        <v>96</v>
      </c>
      <c r="B83" s="54">
        <f t="shared" si="5"/>
        <v>1.54</v>
      </c>
      <c r="C83" s="55">
        <f t="shared" si="5"/>
        <v>1.72</v>
      </c>
      <c r="D83" s="55">
        <f t="shared" si="5"/>
        <v>1.9</v>
      </c>
      <c r="E83" s="56">
        <f t="shared" si="5"/>
        <v>2.19</v>
      </c>
    </row>
    <row r="84" spans="1:5" x14ac:dyDescent="0.5">
      <c r="A84" s="53">
        <f t="shared" si="6"/>
        <v>97</v>
      </c>
      <c r="B84" s="54">
        <f t="shared" si="5"/>
        <v>1.56</v>
      </c>
      <c r="C84" s="55">
        <f t="shared" si="5"/>
        <v>1.74</v>
      </c>
      <c r="D84" s="55">
        <f t="shared" si="5"/>
        <v>1.92</v>
      </c>
      <c r="E84" s="56">
        <f t="shared" si="5"/>
        <v>2.2200000000000002</v>
      </c>
    </row>
    <row r="85" spans="1:5" x14ac:dyDescent="0.5">
      <c r="A85" s="53">
        <f t="shared" si="6"/>
        <v>98</v>
      </c>
      <c r="B85" s="54">
        <f t="shared" si="5"/>
        <v>1.57</v>
      </c>
      <c r="C85" s="55">
        <f t="shared" si="5"/>
        <v>1.76</v>
      </c>
      <c r="D85" s="55">
        <f t="shared" si="5"/>
        <v>1.94</v>
      </c>
      <c r="E85" s="56">
        <f t="shared" si="5"/>
        <v>2.2400000000000002</v>
      </c>
    </row>
    <row r="86" spans="1:5" x14ac:dyDescent="0.5">
      <c r="A86" s="53">
        <f t="shared" si="6"/>
        <v>99</v>
      </c>
      <c r="B86" s="54">
        <f t="shared" si="5"/>
        <v>1.59</v>
      </c>
      <c r="C86" s="55">
        <f t="shared" si="5"/>
        <v>1.78</v>
      </c>
      <c r="D86" s="55">
        <f t="shared" si="5"/>
        <v>1.96</v>
      </c>
      <c r="E86" s="56">
        <f t="shared" si="5"/>
        <v>2.27</v>
      </c>
    </row>
    <row r="87" spans="1:5" x14ac:dyDescent="0.5">
      <c r="A87" s="53">
        <f t="shared" si="6"/>
        <v>100</v>
      </c>
      <c r="B87" s="54">
        <f t="shared" si="5"/>
        <v>1.61</v>
      </c>
      <c r="C87" s="55">
        <f t="shared" si="5"/>
        <v>1.8</v>
      </c>
      <c r="D87" s="55">
        <f t="shared" si="5"/>
        <v>1.99</v>
      </c>
      <c r="E87" s="56">
        <f t="shared" si="5"/>
        <v>2.2999999999999998</v>
      </c>
    </row>
    <row r="88" spans="1:5" x14ac:dyDescent="0.5">
      <c r="A88" s="53">
        <f t="shared" si="6"/>
        <v>101</v>
      </c>
      <c r="B88" s="54">
        <f t="shared" ref="B88:E107" si="7">ROUND(   0.5*(1+B$6*(($A88/(PI()*(210000/B$4)^0.5))-0.2)+($A88/(PI()*(210000/B$4)^0.5))^2)
+((0.5*(1+B$6*(($A88/(PI()*(210000/B$4)^0.5))-0.2)+($A88/(PI()*(210000/B$4)^0.5))^2))^2
-($A88/(PI()*(210000/B$4)^0.5))^2)^0.5,2)</f>
        <v>1.63</v>
      </c>
      <c r="C88" s="55">
        <f t="shared" si="7"/>
        <v>1.82</v>
      </c>
      <c r="D88" s="55">
        <f t="shared" si="7"/>
        <v>2.0099999999999998</v>
      </c>
      <c r="E88" s="56">
        <f t="shared" si="7"/>
        <v>2.3199999999999998</v>
      </c>
    </row>
    <row r="89" spans="1:5" x14ac:dyDescent="0.5">
      <c r="A89" s="53">
        <f t="shared" si="6"/>
        <v>102</v>
      </c>
      <c r="B89" s="54">
        <f t="shared" si="7"/>
        <v>1.65</v>
      </c>
      <c r="C89" s="55">
        <f t="shared" si="7"/>
        <v>1.84</v>
      </c>
      <c r="D89" s="55">
        <f t="shared" si="7"/>
        <v>2.0299999999999998</v>
      </c>
      <c r="E89" s="56">
        <f t="shared" si="7"/>
        <v>2.35</v>
      </c>
    </row>
    <row r="90" spans="1:5" x14ac:dyDescent="0.5">
      <c r="A90" s="53">
        <f t="shared" si="6"/>
        <v>103</v>
      </c>
      <c r="B90" s="54">
        <f t="shared" si="7"/>
        <v>1.67</v>
      </c>
      <c r="C90" s="55">
        <f t="shared" si="7"/>
        <v>1.86</v>
      </c>
      <c r="D90" s="55">
        <f t="shared" si="7"/>
        <v>2.06</v>
      </c>
      <c r="E90" s="56">
        <f t="shared" si="7"/>
        <v>2.38</v>
      </c>
    </row>
    <row r="91" spans="1:5" x14ac:dyDescent="0.5">
      <c r="A91" s="53">
        <f t="shared" si="6"/>
        <v>104</v>
      </c>
      <c r="B91" s="54">
        <f t="shared" si="7"/>
        <v>1.69</v>
      </c>
      <c r="C91" s="55">
        <f t="shared" si="7"/>
        <v>1.88</v>
      </c>
      <c r="D91" s="55">
        <f t="shared" si="7"/>
        <v>2.08</v>
      </c>
      <c r="E91" s="56">
        <f t="shared" si="7"/>
        <v>2.41</v>
      </c>
    </row>
    <row r="92" spans="1:5" x14ac:dyDescent="0.5">
      <c r="A92" s="53">
        <f t="shared" si="6"/>
        <v>105</v>
      </c>
      <c r="B92" s="54">
        <f t="shared" si="7"/>
        <v>1.71</v>
      </c>
      <c r="C92" s="55">
        <f t="shared" si="7"/>
        <v>1.91</v>
      </c>
      <c r="D92" s="55">
        <f t="shared" si="7"/>
        <v>2.11</v>
      </c>
      <c r="E92" s="56">
        <f t="shared" si="7"/>
        <v>2.4300000000000002</v>
      </c>
    </row>
    <row r="93" spans="1:5" x14ac:dyDescent="0.5">
      <c r="A93" s="53">
        <f t="shared" si="6"/>
        <v>106</v>
      </c>
      <c r="B93" s="54">
        <f t="shared" si="7"/>
        <v>1.73</v>
      </c>
      <c r="C93" s="55">
        <f t="shared" si="7"/>
        <v>1.93</v>
      </c>
      <c r="D93" s="55">
        <f t="shared" si="7"/>
        <v>2.13</v>
      </c>
      <c r="E93" s="56">
        <f t="shared" si="7"/>
        <v>2.46</v>
      </c>
    </row>
    <row r="94" spans="1:5" x14ac:dyDescent="0.5">
      <c r="A94" s="53">
        <f t="shared" si="6"/>
        <v>107</v>
      </c>
      <c r="B94" s="54">
        <f t="shared" si="7"/>
        <v>1.76</v>
      </c>
      <c r="C94" s="55">
        <f t="shared" si="7"/>
        <v>1.95</v>
      </c>
      <c r="D94" s="55">
        <f t="shared" si="7"/>
        <v>2.16</v>
      </c>
      <c r="E94" s="56">
        <f t="shared" si="7"/>
        <v>2.4900000000000002</v>
      </c>
    </row>
    <row r="95" spans="1:5" x14ac:dyDescent="0.5">
      <c r="A95" s="53">
        <f t="shared" si="6"/>
        <v>108</v>
      </c>
      <c r="B95" s="54">
        <f t="shared" si="7"/>
        <v>1.78</v>
      </c>
      <c r="C95" s="55">
        <f t="shared" si="7"/>
        <v>1.98</v>
      </c>
      <c r="D95" s="55">
        <f t="shared" si="7"/>
        <v>2.1800000000000002</v>
      </c>
      <c r="E95" s="56">
        <f t="shared" si="7"/>
        <v>2.52</v>
      </c>
    </row>
    <row r="96" spans="1:5" x14ac:dyDescent="0.5">
      <c r="A96" s="53">
        <f t="shared" si="6"/>
        <v>109</v>
      </c>
      <c r="B96" s="54">
        <f t="shared" si="7"/>
        <v>1.8</v>
      </c>
      <c r="C96" s="55">
        <f t="shared" si="7"/>
        <v>2</v>
      </c>
      <c r="D96" s="55">
        <f t="shared" si="7"/>
        <v>2.21</v>
      </c>
      <c r="E96" s="56">
        <f t="shared" si="7"/>
        <v>2.5499999999999998</v>
      </c>
    </row>
    <row r="97" spans="1:5" x14ac:dyDescent="0.5">
      <c r="A97" s="53">
        <f t="shared" si="6"/>
        <v>110</v>
      </c>
      <c r="B97" s="54">
        <f t="shared" si="7"/>
        <v>1.82</v>
      </c>
      <c r="C97" s="55">
        <f t="shared" si="7"/>
        <v>2.02</v>
      </c>
      <c r="D97" s="55">
        <f t="shared" si="7"/>
        <v>2.23</v>
      </c>
      <c r="E97" s="56">
        <f t="shared" si="7"/>
        <v>2.58</v>
      </c>
    </row>
    <row r="98" spans="1:5" x14ac:dyDescent="0.5">
      <c r="A98" s="53">
        <f t="shared" si="6"/>
        <v>111</v>
      </c>
      <c r="B98" s="54">
        <f t="shared" si="7"/>
        <v>1.85</v>
      </c>
      <c r="C98" s="55">
        <f t="shared" si="7"/>
        <v>2.0499999999999998</v>
      </c>
      <c r="D98" s="55">
        <f t="shared" si="7"/>
        <v>2.2599999999999998</v>
      </c>
      <c r="E98" s="56">
        <f t="shared" si="7"/>
        <v>2.61</v>
      </c>
    </row>
    <row r="99" spans="1:5" x14ac:dyDescent="0.5">
      <c r="A99" s="53">
        <f t="shared" si="6"/>
        <v>112</v>
      </c>
      <c r="B99" s="54">
        <f t="shared" si="7"/>
        <v>1.87</v>
      </c>
      <c r="C99" s="55">
        <f t="shared" si="7"/>
        <v>2.0699999999999998</v>
      </c>
      <c r="D99" s="55">
        <f t="shared" si="7"/>
        <v>2.29</v>
      </c>
      <c r="E99" s="56">
        <f t="shared" si="7"/>
        <v>2.64</v>
      </c>
    </row>
    <row r="100" spans="1:5" x14ac:dyDescent="0.5">
      <c r="A100" s="53">
        <f t="shared" si="6"/>
        <v>113</v>
      </c>
      <c r="B100" s="54">
        <f t="shared" si="7"/>
        <v>1.89</v>
      </c>
      <c r="C100" s="55">
        <f t="shared" si="7"/>
        <v>2.1</v>
      </c>
      <c r="D100" s="55">
        <f t="shared" si="7"/>
        <v>2.31</v>
      </c>
      <c r="E100" s="56">
        <f t="shared" si="7"/>
        <v>2.67</v>
      </c>
    </row>
    <row r="101" spans="1:5" x14ac:dyDescent="0.5">
      <c r="A101" s="53">
        <f t="shared" si="6"/>
        <v>114</v>
      </c>
      <c r="B101" s="54">
        <f t="shared" si="7"/>
        <v>1.92</v>
      </c>
      <c r="C101" s="55">
        <f t="shared" si="7"/>
        <v>2.12</v>
      </c>
      <c r="D101" s="55">
        <f t="shared" si="7"/>
        <v>2.34</v>
      </c>
      <c r="E101" s="56">
        <f t="shared" si="7"/>
        <v>2.7</v>
      </c>
    </row>
    <row r="102" spans="1:5" x14ac:dyDescent="0.5">
      <c r="A102" s="53">
        <f t="shared" si="6"/>
        <v>115</v>
      </c>
      <c r="B102" s="54">
        <f t="shared" si="7"/>
        <v>1.94</v>
      </c>
      <c r="C102" s="55">
        <f t="shared" si="7"/>
        <v>2.15</v>
      </c>
      <c r="D102" s="55">
        <f t="shared" si="7"/>
        <v>2.37</v>
      </c>
      <c r="E102" s="56">
        <f t="shared" si="7"/>
        <v>2.73</v>
      </c>
    </row>
    <row r="103" spans="1:5" x14ac:dyDescent="0.5">
      <c r="A103" s="53">
        <f t="shared" si="6"/>
        <v>116</v>
      </c>
      <c r="B103" s="54">
        <f t="shared" si="7"/>
        <v>1.97</v>
      </c>
      <c r="C103" s="55">
        <f t="shared" si="7"/>
        <v>2.1800000000000002</v>
      </c>
      <c r="D103" s="55">
        <f t="shared" si="7"/>
        <v>2.4</v>
      </c>
      <c r="E103" s="56">
        <f t="shared" si="7"/>
        <v>2.76</v>
      </c>
    </row>
    <row r="104" spans="1:5" x14ac:dyDescent="0.5">
      <c r="A104" s="53">
        <f t="shared" si="6"/>
        <v>117</v>
      </c>
      <c r="B104" s="54">
        <f t="shared" si="7"/>
        <v>1.99</v>
      </c>
      <c r="C104" s="55">
        <f t="shared" si="7"/>
        <v>2.2000000000000002</v>
      </c>
      <c r="D104" s="55">
        <f t="shared" si="7"/>
        <v>2.42</v>
      </c>
      <c r="E104" s="56">
        <f t="shared" si="7"/>
        <v>2.79</v>
      </c>
    </row>
    <row r="105" spans="1:5" x14ac:dyDescent="0.5">
      <c r="A105" s="53">
        <f t="shared" si="6"/>
        <v>118</v>
      </c>
      <c r="B105" s="54">
        <f t="shared" si="7"/>
        <v>2.02</v>
      </c>
      <c r="C105" s="55">
        <f t="shared" si="7"/>
        <v>2.23</v>
      </c>
      <c r="D105" s="55">
        <f t="shared" si="7"/>
        <v>2.4500000000000002</v>
      </c>
      <c r="E105" s="56">
        <f t="shared" si="7"/>
        <v>2.82</v>
      </c>
    </row>
    <row r="106" spans="1:5" x14ac:dyDescent="0.5">
      <c r="A106" s="53">
        <f t="shared" si="6"/>
        <v>119</v>
      </c>
      <c r="B106" s="54">
        <f t="shared" si="7"/>
        <v>2.04</v>
      </c>
      <c r="C106" s="55">
        <f t="shared" si="7"/>
        <v>2.2599999999999998</v>
      </c>
      <c r="D106" s="55">
        <f t="shared" si="7"/>
        <v>2.48</v>
      </c>
      <c r="E106" s="56">
        <f t="shared" si="7"/>
        <v>2.85</v>
      </c>
    </row>
    <row r="107" spans="1:5" x14ac:dyDescent="0.5">
      <c r="A107" s="53">
        <f t="shared" si="6"/>
        <v>120</v>
      </c>
      <c r="B107" s="54">
        <f t="shared" si="7"/>
        <v>2.0699999999999998</v>
      </c>
      <c r="C107" s="55">
        <f t="shared" si="7"/>
        <v>2.2799999999999998</v>
      </c>
      <c r="D107" s="55">
        <f t="shared" si="7"/>
        <v>2.5099999999999998</v>
      </c>
      <c r="E107" s="56">
        <f t="shared" si="7"/>
        <v>2.89</v>
      </c>
    </row>
    <row r="108" spans="1:5" x14ac:dyDescent="0.5">
      <c r="A108" s="53">
        <f t="shared" si="6"/>
        <v>121</v>
      </c>
      <c r="B108" s="54">
        <f t="shared" ref="B108:E127" si="8">ROUND(   0.5*(1+B$6*(($A108/(PI()*(210000/B$4)^0.5))-0.2)+($A108/(PI()*(210000/B$4)^0.5))^2)
+((0.5*(1+B$6*(($A108/(PI()*(210000/B$4)^0.5))-0.2)+($A108/(PI()*(210000/B$4)^0.5))^2))^2
-($A108/(PI()*(210000/B$4)^0.5))^2)^0.5,2)</f>
        <v>2.1</v>
      </c>
      <c r="C108" s="55">
        <f t="shared" si="8"/>
        <v>2.31</v>
      </c>
      <c r="D108" s="55">
        <f t="shared" si="8"/>
        <v>2.54</v>
      </c>
      <c r="E108" s="56">
        <f t="shared" si="8"/>
        <v>2.92</v>
      </c>
    </row>
    <row r="109" spans="1:5" x14ac:dyDescent="0.5">
      <c r="A109" s="53">
        <f t="shared" si="6"/>
        <v>122</v>
      </c>
      <c r="B109" s="54">
        <f t="shared" si="8"/>
        <v>2.12</v>
      </c>
      <c r="C109" s="55">
        <f t="shared" si="8"/>
        <v>2.34</v>
      </c>
      <c r="D109" s="55">
        <f t="shared" si="8"/>
        <v>2.57</v>
      </c>
      <c r="E109" s="56">
        <f t="shared" si="8"/>
        <v>2.95</v>
      </c>
    </row>
    <row r="110" spans="1:5" x14ac:dyDescent="0.5">
      <c r="A110" s="53">
        <f t="shared" si="6"/>
        <v>123</v>
      </c>
      <c r="B110" s="54">
        <f t="shared" si="8"/>
        <v>2.15</v>
      </c>
      <c r="C110" s="55">
        <f t="shared" si="8"/>
        <v>2.37</v>
      </c>
      <c r="D110" s="55">
        <f t="shared" si="8"/>
        <v>2.6</v>
      </c>
      <c r="E110" s="56">
        <f t="shared" si="8"/>
        <v>2.98</v>
      </c>
    </row>
    <row r="111" spans="1:5" x14ac:dyDescent="0.5">
      <c r="A111" s="53">
        <f t="shared" si="6"/>
        <v>124</v>
      </c>
      <c r="B111" s="54">
        <f t="shared" si="8"/>
        <v>2.1800000000000002</v>
      </c>
      <c r="C111" s="55">
        <f t="shared" si="8"/>
        <v>2.4</v>
      </c>
      <c r="D111" s="55">
        <f t="shared" si="8"/>
        <v>2.63</v>
      </c>
      <c r="E111" s="56">
        <f t="shared" si="8"/>
        <v>3.02</v>
      </c>
    </row>
    <row r="112" spans="1:5" x14ac:dyDescent="0.5">
      <c r="A112" s="53">
        <f t="shared" si="6"/>
        <v>125</v>
      </c>
      <c r="B112" s="54">
        <f t="shared" si="8"/>
        <v>2.21</v>
      </c>
      <c r="C112" s="55">
        <f t="shared" si="8"/>
        <v>2.4300000000000002</v>
      </c>
      <c r="D112" s="55">
        <f t="shared" si="8"/>
        <v>2.66</v>
      </c>
      <c r="E112" s="56">
        <f t="shared" si="8"/>
        <v>3.05</v>
      </c>
    </row>
    <row r="113" spans="1:5" x14ac:dyDescent="0.5">
      <c r="A113" s="53">
        <f t="shared" si="6"/>
        <v>126</v>
      </c>
      <c r="B113" s="54">
        <f t="shared" si="8"/>
        <v>2.23</v>
      </c>
      <c r="C113" s="55">
        <f t="shared" si="8"/>
        <v>2.46</v>
      </c>
      <c r="D113" s="55">
        <f t="shared" si="8"/>
        <v>2.69</v>
      </c>
      <c r="E113" s="56">
        <f t="shared" si="8"/>
        <v>3.08</v>
      </c>
    </row>
    <row r="114" spans="1:5" x14ac:dyDescent="0.5">
      <c r="A114" s="53">
        <f t="shared" si="6"/>
        <v>127</v>
      </c>
      <c r="B114" s="54">
        <f t="shared" si="8"/>
        <v>2.2599999999999998</v>
      </c>
      <c r="C114" s="55">
        <f t="shared" si="8"/>
        <v>2.48</v>
      </c>
      <c r="D114" s="55">
        <f t="shared" si="8"/>
        <v>2.72</v>
      </c>
      <c r="E114" s="56">
        <f t="shared" si="8"/>
        <v>3.12</v>
      </c>
    </row>
    <row r="115" spans="1:5" x14ac:dyDescent="0.5">
      <c r="A115" s="53">
        <f t="shared" si="6"/>
        <v>128</v>
      </c>
      <c r="B115" s="54">
        <f t="shared" si="8"/>
        <v>2.29</v>
      </c>
      <c r="C115" s="55">
        <f t="shared" si="8"/>
        <v>2.5099999999999998</v>
      </c>
      <c r="D115" s="55">
        <f t="shared" si="8"/>
        <v>2.75</v>
      </c>
      <c r="E115" s="56">
        <f t="shared" si="8"/>
        <v>3.15</v>
      </c>
    </row>
    <row r="116" spans="1:5" x14ac:dyDescent="0.5">
      <c r="A116" s="53">
        <f t="shared" si="6"/>
        <v>129</v>
      </c>
      <c r="B116" s="54">
        <f t="shared" si="8"/>
        <v>2.3199999999999998</v>
      </c>
      <c r="C116" s="55">
        <f t="shared" si="8"/>
        <v>2.54</v>
      </c>
      <c r="D116" s="55">
        <f t="shared" si="8"/>
        <v>2.78</v>
      </c>
      <c r="E116" s="56">
        <f t="shared" si="8"/>
        <v>3.19</v>
      </c>
    </row>
    <row r="117" spans="1:5" x14ac:dyDescent="0.5">
      <c r="A117" s="53">
        <f t="shared" si="6"/>
        <v>130</v>
      </c>
      <c r="B117" s="54">
        <f t="shared" si="8"/>
        <v>2.35</v>
      </c>
      <c r="C117" s="55">
        <f t="shared" si="8"/>
        <v>2.57</v>
      </c>
      <c r="D117" s="55">
        <f t="shared" si="8"/>
        <v>2.82</v>
      </c>
      <c r="E117" s="56">
        <f t="shared" si="8"/>
        <v>3.22</v>
      </c>
    </row>
    <row r="118" spans="1:5" x14ac:dyDescent="0.5">
      <c r="A118" s="53">
        <f t="shared" si="6"/>
        <v>131</v>
      </c>
      <c r="B118" s="54">
        <f t="shared" si="8"/>
        <v>2.38</v>
      </c>
      <c r="C118" s="55">
        <f t="shared" si="8"/>
        <v>2.61</v>
      </c>
      <c r="D118" s="55">
        <f t="shared" si="8"/>
        <v>2.85</v>
      </c>
      <c r="E118" s="56">
        <f t="shared" si="8"/>
        <v>3.26</v>
      </c>
    </row>
    <row r="119" spans="1:5" x14ac:dyDescent="0.5">
      <c r="A119" s="53">
        <f t="shared" si="6"/>
        <v>132</v>
      </c>
      <c r="B119" s="54">
        <f t="shared" si="8"/>
        <v>2.41</v>
      </c>
      <c r="C119" s="55">
        <f t="shared" si="8"/>
        <v>2.64</v>
      </c>
      <c r="D119" s="55">
        <f t="shared" si="8"/>
        <v>2.88</v>
      </c>
      <c r="E119" s="56">
        <f t="shared" si="8"/>
        <v>3.29</v>
      </c>
    </row>
    <row r="120" spans="1:5" x14ac:dyDescent="0.5">
      <c r="A120" s="53">
        <f t="shared" si="6"/>
        <v>133</v>
      </c>
      <c r="B120" s="54">
        <f t="shared" si="8"/>
        <v>2.44</v>
      </c>
      <c r="C120" s="55">
        <f t="shared" si="8"/>
        <v>2.67</v>
      </c>
      <c r="D120" s="55">
        <f t="shared" si="8"/>
        <v>2.91</v>
      </c>
      <c r="E120" s="56">
        <f t="shared" si="8"/>
        <v>3.33</v>
      </c>
    </row>
    <row r="121" spans="1:5" x14ac:dyDescent="0.5">
      <c r="A121" s="53">
        <f t="shared" si="6"/>
        <v>134</v>
      </c>
      <c r="B121" s="54">
        <f t="shared" si="8"/>
        <v>2.4700000000000002</v>
      </c>
      <c r="C121" s="55">
        <f t="shared" si="8"/>
        <v>2.7</v>
      </c>
      <c r="D121" s="55">
        <f t="shared" si="8"/>
        <v>2.95</v>
      </c>
      <c r="E121" s="56">
        <f t="shared" si="8"/>
        <v>3.36</v>
      </c>
    </row>
    <row r="122" spans="1:5" x14ac:dyDescent="0.5">
      <c r="A122" s="53">
        <f t="shared" si="6"/>
        <v>135</v>
      </c>
      <c r="B122" s="54">
        <f t="shared" si="8"/>
        <v>2.5</v>
      </c>
      <c r="C122" s="55">
        <f t="shared" si="8"/>
        <v>2.73</v>
      </c>
      <c r="D122" s="55">
        <f t="shared" si="8"/>
        <v>2.98</v>
      </c>
      <c r="E122" s="56">
        <f t="shared" si="8"/>
        <v>3.4</v>
      </c>
    </row>
    <row r="123" spans="1:5" x14ac:dyDescent="0.5">
      <c r="A123" s="53">
        <f t="shared" si="6"/>
        <v>136</v>
      </c>
      <c r="B123" s="54">
        <f t="shared" si="8"/>
        <v>2.5299999999999998</v>
      </c>
      <c r="C123" s="55">
        <f t="shared" si="8"/>
        <v>2.76</v>
      </c>
      <c r="D123" s="55">
        <f t="shared" si="8"/>
        <v>3.01</v>
      </c>
      <c r="E123" s="56">
        <f t="shared" si="8"/>
        <v>3.44</v>
      </c>
    </row>
    <row r="124" spans="1:5" x14ac:dyDescent="0.5">
      <c r="A124" s="53">
        <f t="shared" si="6"/>
        <v>137</v>
      </c>
      <c r="B124" s="54">
        <f t="shared" si="8"/>
        <v>2.56</v>
      </c>
      <c r="C124" s="55">
        <f t="shared" si="8"/>
        <v>2.79</v>
      </c>
      <c r="D124" s="55">
        <f t="shared" si="8"/>
        <v>3.05</v>
      </c>
      <c r="E124" s="56">
        <f t="shared" si="8"/>
        <v>3.47</v>
      </c>
    </row>
    <row r="125" spans="1:5" x14ac:dyDescent="0.5">
      <c r="A125" s="53">
        <f t="shared" si="6"/>
        <v>138</v>
      </c>
      <c r="B125" s="54">
        <f t="shared" si="8"/>
        <v>2.59</v>
      </c>
      <c r="C125" s="55">
        <f t="shared" si="8"/>
        <v>2.83</v>
      </c>
      <c r="D125" s="55">
        <f t="shared" si="8"/>
        <v>3.08</v>
      </c>
      <c r="E125" s="56">
        <f t="shared" si="8"/>
        <v>3.51</v>
      </c>
    </row>
    <row r="126" spans="1:5" x14ac:dyDescent="0.5">
      <c r="A126" s="53">
        <f t="shared" si="6"/>
        <v>139</v>
      </c>
      <c r="B126" s="54">
        <f t="shared" si="8"/>
        <v>2.62</v>
      </c>
      <c r="C126" s="55">
        <f t="shared" si="8"/>
        <v>2.86</v>
      </c>
      <c r="D126" s="55">
        <f t="shared" si="8"/>
        <v>3.11</v>
      </c>
      <c r="E126" s="56">
        <f t="shared" si="8"/>
        <v>3.55</v>
      </c>
    </row>
    <row r="127" spans="1:5" x14ac:dyDescent="0.5">
      <c r="A127" s="53">
        <f t="shared" si="6"/>
        <v>140</v>
      </c>
      <c r="B127" s="54">
        <f t="shared" si="8"/>
        <v>2.66</v>
      </c>
      <c r="C127" s="55">
        <f t="shared" si="8"/>
        <v>2.89</v>
      </c>
      <c r="D127" s="55">
        <f t="shared" si="8"/>
        <v>3.15</v>
      </c>
      <c r="E127" s="56">
        <f t="shared" si="8"/>
        <v>3.58</v>
      </c>
    </row>
    <row r="128" spans="1:5" x14ac:dyDescent="0.5">
      <c r="A128" s="53">
        <f t="shared" si="6"/>
        <v>141</v>
      </c>
      <c r="B128" s="54">
        <f t="shared" ref="B128:E147" si="9">ROUND(   0.5*(1+B$6*(($A128/(PI()*(210000/B$4)^0.5))-0.2)+($A128/(PI()*(210000/B$4)^0.5))^2)
+((0.5*(1+B$6*(($A128/(PI()*(210000/B$4)^0.5))-0.2)+($A128/(PI()*(210000/B$4)^0.5))^2))^2
-($A128/(PI()*(210000/B$4)^0.5))^2)^0.5,2)</f>
        <v>2.69</v>
      </c>
      <c r="C128" s="55">
        <f t="shared" si="9"/>
        <v>2.93</v>
      </c>
      <c r="D128" s="55">
        <f t="shared" si="9"/>
        <v>3.18</v>
      </c>
      <c r="E128" s="56">
        <f t="shared" si="9"/>
        <v>3.62</v>
      </c>
    </row>
    <row r="129" spans="1:5" x14ac:dyDescent="0.5">
      <c r="A129" s="53">
        <f t="shared" si="6"/>
        <v>142</v>
      </c>
      <c r="B129" s="54">
        <f t="shared" si="9"/>
        <v>2.72</v>
      </c>
      <c r="C129" s="55">
        <f t="shared" si="9"/>
        <v>2.96</v>
      </c>
      <c r="D129" s="55">
        <f t="shared" si="9"/>
        <v>3.22</v>
      </c>
      <c r="E129" s="56">
        <f t="shared" si="9"/>
        <v>3.66</v>
      </c>
    </row>
    <row r="130" spans="1:5" x14ac:dyDescent="0.5">
      <c r="A130" s="53">
        <f t="shared" si="6"/>
        <v>143</v>
      </c>
      <c r="B130" s="54">
        <f t="shared" si="9"/>
        <v>2.75</v>
      </c>
      <c r="C130" s="55">
        <f t="shared" si="9"/>
        <v>2.99</v>
      </c>
      <c r="D130" s="55">
        <f t="shared" si="9"/>
        <v>3.25</v>
      </c>
      <c r="E130" s="56">
        <f t="shared" si="9"/>
        <v>3.7</v>
      </c>
    </row>
    <row r="131" spans="1:5" x14ac:dyDescent="0.5">
      <c r="A131" s="53">
        <f t="shared" si="6"/>
        <v>144</v>
      </c>
      <c r="B131" s="54">
        <f t="shared" si="9"/>
        <v>2.79</v>
      </c>
      <c r="C131" s="55">
        <f t="shared" si="9"/>
        <v>3.03</v>
      </c>
      <c r="D131" s="55">
        <f t="shared" si="9"/>
        <v>3.29</v>
      </c>
      <c r="E131" s="56">
        <f t="shared" si="9"/>
        <v>3.73</v>
      </c>
    </row>
    <row r="132" spans="1:5" x14ac:dyDescent="0.5">
      <c r="A132" s="53">
        <f t="shared" si="6"/>
        <v>145</v>
      </c>
      <c r="B132" s="54">
        <f t="shared" si="9"/>
        <v>2.82</v>
      </c>
      <c r="C132" s="55">
        <f t="shared" si="9"/>
        <v>3.06</v>
      </c>
      <c r="D132" s="55">
        <f t="shared" si="9"/>
        <v>3.33</v>
      </c>
      <c r="E132" s="56">
        <f t="shared" si="9"/>
        <v>3.77</v>
      </c>
    </row>
    <row r="133" spans="1:5" x14ac:dyDescent="0.5">
      <c r="A133" s="53">
        <f t="shared" si="6"/>
        <v>146</v>
      </c>
      <c r="B133" s="54">
        <f t="shared" si="9"/>
        <v>2.85</v>
      </c>
      <c r="C133" s="55">
        <f t="shared" si="9"/>
        <v>3.1</v>
      </c>
      <c r="D133" s="55">
        <f t="shared" si="9"/>
        <v>3.36</v>
      </c>
      <c r="E133" s="56">
        <f t="shared" si="9"/>
        <v>3.81</v>
      </c>
    </row>
    <row r="134" spans="1:5" x14ac:dyDescent="0.5">
      <c r="A134" s="53">
        <f t="shared" si="6"/>
        <v>147</v>
      </c>
      <c r="B134" s="54">
        <f t="shared" si="9"/>
        <v>2.89</v>
      </c>
      <c r="C134" s="55">
        <f t="shared" si="9"/>
        <v>3.13</v>
      </c>
      <c r="D134" s="55">
        <f t="shared" si="9"/>
        <v>3.4</v>
      </c>
      <c r="E134" s="56">
        <f t="shared" si="9"/>
        <v>3.85</v>
      </c>
    </row>
    <row r="135" spans="1:5" x14ac:dyDescent="0.5">
      <c r="A135" s="53">
        <f t="shared" si="6"/>
        <v>148</v>
      </c>
      <c r="B135" s="54">
        <f t="shared" si="9"/>
        <v>2.92</v>
      </c>
      <c r="C135" s="55">
        <f t="shared" si="9"/>
        <v>3.17</v>
      </c>
      <c r="D135" s="55">
        <f t="shared" si="9"/>
        <v>3.43</v>
      </c>
      <c r="E135" s="56">
        <f t="shared" si="9"/>
        <v>3.89</v>
      </c>
    </row>
    <row r="136" spans="1:5" x14ac:dyDescent="0.5">
      <c r="A136" s="53">
        <f t="shared" ref="A136:A199" si="10">ROW()+13</f>
        <v>149</v>
      </c>
      <c r="B136" s="54">
        <f t="shared" si="9"/>
        <v>2.96</v>
      </c>
      <c r="C136" s="55">
        <f t="shared" si="9"/>
        <v>3.2</v>
      </c>
      <c r="D136" s="55">
        <f t="shared" si="9"/>
        <v>3.47</v>
      </c>
      <c r="E136" s="56">
        <f t="shared" si="9"/>
        <v>3.93</v>
      </c>
    </row>
    <row r="137" spans="1:5" x14ac:dyDescent="0.5">
      <c r="A137" s="53">
        <f t="shared" si="10"/>
        <v>150</v>
      </c>
      <c r="B137" s="54">
        <f t="shared" si="9"/>
        <v>2.99</v>
      </c>
      <c r="C137" s="55">
        <f t="shared" si="9"/>
        <v>3.24</v>
      </c>
      <c r="D137" s="55">
        <f t="shared" si="9"/>
        <v>3.51</v>
      </c>
      <c r="E137" s="56">
        <f t="shared" si="9"/>
        <v>3.97</v>
      </c>
    </row>
    <row r="138" spans="1:5" x14ac:dyDescent="0.5">
      <c r="A138" s="53">
        <f t="shared" si="10"/>
        <v>151</v>
      </c>
      <c r="B138" s="54">
        <f t="shared" si="9"/>
        <v>3.03</v>
      </c>
      <c r="C138" s="55">
        <f t="shared" si="9"/>
        <v>3.27</v>
      </c>
      <c r="D138" s="55">
        <f t="shared" si="9"/>
        <v>3.55</v>
      </c>
      <c r="E138" s="56">
        <f t="shared" si="9"/>
        <v>4.01</v>
      </c>
    </row>
    <row r="139" spans="1:5" x14ac:dyDescent="0.5">
      <c r="A139" s="53">
        <f t="shared" si="10"/>
        <v>152</v>
      </c>
      <c r="B139" s="54">
        <f t="shared" si="9"/>
        <v>3.06</v>
      </c>
      <c r="C139" s="55">
        <f t="shared" si="9"/>
        <v>3.31</v>
      </c>
      <c r="D139" s="55">
        <f t="shared" si="9"/>
        <v>3.58</v>
      </c>
      <c r="E139" s="56">
        <f t="shared" si="9"/>
        <v>4.05</v>
      </c>
    </row>
    <row r="140" spans="1:5" x14ac:dyDescent="0.5">
      <c r="A140" s="53">
        <f t="shared" si="10"/>
        <v>153</v>
      </c>
      <c r="B140" s="54">
        <f t="shared" si="9"/>
        <v>3.1</v>
      </c>
      <c r="C140" s="55">
        <f t="shared" si="9"/>
        <v>3.35</v>
      </c>
      <c r="D140" s="55">
        <f t="shared" si="9"/>
        <v>3.62</v>
      </c>
      <c r="E140" s="56">
        <f t="shared" si="9"/>
        <v>4.09</v>
      </c>
    </row>
    <row r="141" spans="1:5" x14ac:dyDescent="0.5">
      <c r="A141" s="53">
        <f t="shared" si="10"/>
        <v>154</v>
      </c>
      <c r="B141" s="54">
        <f t="shared" si="9"/>
        <v>3.13</v>
      </c>
      <c r="C141" s="55">
        <f t="shared" si="9"/>
        <v>3.38</v>
      </c>
      <c r="D141" s="55">
        <f t="shared" si="9"/>
        <v>3.66</v>
      </c>
      <c r="E141" s="56">
        <f t="shared" si="9"/>
        <v>4.13</v>
      </c>
    </row>
    <row r="142" spans="1:5" x14ac:dyDescent="0.5">
      <c r="A142" s="53">
        <f t="shared" si="10"/>
        <v>155</v>
      </c>
      <c r="B142" s="54">
        <f t="shared" si="9"/>
        <v>3.17</v>
      </c>
      <c r="C142" s="55">
        <f t="shared" si="9"/>
        <v>3.42</v>
      </c>
      <c r="D142" s="55">
        <f t="shared" si="9"/>
        <v>3.7</v>
      </c>
      <c r="E142" s="56">
        <f t="shared" si="9"/>
        <v>4.17</v>
      </c>
    </row>
    <row r="143" spans="1:5" x14ac:dyDescent="0.5">
      <c r="A143" s="53">
        <f t="shared" si="10"/>
        <v>156</v>
      </c>
      <c r="B143" s="54">
        <f t="shared" si="9"/>
        <v>3.21</v>
      </c>
      <c r="C143" s="55">
        <f t="shared" si="9"/>
        <v>3.46</v>
      </c>
      <c r="D143" s="55">
        <f t="shared" si="9"/>
        <v>3.74</v>
      </c>
      <c r="E143" s="56">
        <f t="shared" si="9"/>
        <v>4.22</v>
      </c>
    </row>
    <row r="144" spans="1:5" x14ac:dyDescent="0.5">
      <c r="A144" s="53">
        <f t="shared" si="10"/>
        <v>157</v>
      </c>
      <c r="B144" s="54">
        <f t="shared" si="9"/>
        <v>3.24</v>
      </c>
      <c r="C144" s="55">
        <f t="shared" si="9"/>
        <v>3.5</v>
      </c>
      <c r="D144" s="55">
        <f t="shared" si="9"/>
        <v>3.78</v>
      </c>
      <c r="E144" s="56">
        <f t="shared" si="9"/>
        <v>4.26</v>
      </c>
    </row>
    <row r="145" spans="1:5" x14ac:dyDescent="0.5">
      <c r="A145" s="53">
        <f t="shared" si="10"/>
        <v>158</v>
      </c>
      <c r="B145" s="54">
        <f t="shared" si="9"/>
        <v>3.28</v>
      </c>
      <c r="C145" s="55">
        <f t="shared" si="9"/>
        <v>3.53</v>
      </c>
      <c r="D145" s="55">
        <f t="shared" si="9"/>
        <v>3.81</v>
      </c>
      <c r="E145" s="56">
        <f t="shared" si="9"/>
        <v>4.3</v>
      </c>
    </row>
    <row r="146" spans="1:5" x14ac:dyDescent="0.5">
      <c r="A146" s="53">
        <f t="shared" si="10"/>
        <v>159</v>
      </c>
      <c r="B146" s="54">
        <f t="shared" si="9"/>
        <v>3.32</v>
      </c>
      <c r="C146" s="55">
        <f t="shared" si="9"/>
        <v>3.57</v>
      </c>
      <c r="D146" s="55">
        <f t="shared" si="9"/>
        <v>3.85</v>
      </c>
      <c r="E146" s="56">
        <f t="shared" si="9"/>
        <v>4.34</v>
      </c>
    </row>
    <row r="147" spans="1:5" x14ac:dyDescent="0.5">
      <c r="A147" s="53">
        <f t="shared" si="10"/>
        <v>160</v>
      </c>
      <c r="B147" s="54">
        <f t="shared" si="9"/>
        <v>3.35</v>
      </c>
      <c r="C147" s="55">
        <f t="shared" si="9"/>
        <v>3.61</v>
      </c>
      <c r="D147" s="55">
        <f t="shared" si="9"/>
        <v>3.89</v>
      </c>
      <c r="E147" s="56">
        <f t="shared" si="9"/>
        <v>4.38</v>
      </c>
    </row>
    <row r="148" spans="1:5" x14ac:dyDescent="0.5">
      <c r="A148" s="53">
        <f t="shared" si="10"/>
        <v>161</v>
      </c>
      <c r="B148" s="54">
        <f t="shared" ref="B148:E167" si="11">ROUND(   0.5*(1+B$6*(($A148/(PI()*(210000/B$4)^0.5))-0.2)+($A148/(PI()*(210000/B$4)^0.5))^2)
+((0.5*(1+B$6*(($A148/(PI()*(210000/B$4)^0.5))-0.2)+($A148/(PI()*(210000/B$4)^0.5))^2))^2
-($A148/(PI()*(210000/B$4)^0.5))^2)^0.5,2)</f>
        <v>3.39</v>
      </c>
      <c r="C148" s="55">
        <f t="shared" si="11"/>
        <v>3.65</v>
      </c>
      <c r="D148" s="55">
        <f t="shared" si="11"/>
        <v>3.93</v>
      </c>
      <c r="E148" s="56">
        <f t="shared" si="11"/>
        <v>4.43</v>
      </c>
    </row>
    <row r="149" spans="1:5" x14ac:dyDescent="0.5">
      <c r="A149" s="53">
        <f t="shared" si="10"/>
        <v>162</v>
      </c>
      <c r="B149" s="54">
        <f t="shared" si="11"/>
        <v>3.43</v>
      </c>
      <c r="C149" s="55">
        <f t="shared" si="11"/>
        <v>3.69</v>
      </c>
      <c r="D149" s="55">
        <f t="shared" si="11"/>
        <v>3.97</v>
      </c>
      <c r="E149" s="56">
        <f t="shared" si="11"/>
        <v>4.47</v>
      </c>
    </row>
    <row r="150" spans="1:5" x14ac:dyDescent="0.5">
      <c r="A150" s="53">
        <f t="shared" si="10"/>
        <v>163</v>
      </c>
      <c r="B150" s="54">
        <f t="shared" si="11"/>
        <v>3.47</v>
      </c>
      <c r="C150" s="55">
        <f t="shared" si="11"/>
        <v>3.73</v>
      </c>
      <c r="D150" s="55">
        <f t="shared" si="11"/>
        <v>4.01</v>
      </c>
      <c r="E150" s="56">
        <f t="shared" si="11"/>
        <v>4.51</v>
      </c>
    </row>
    <row r="151" spans="1:5" x14ac:dyDescent="0.5">
      <c r="A151" s="53">
        <f t="shared" si="10"/>
        <v>164</v>
      </c>
      <c r="B151" s="54">
        <f t="shared" si="11"/>
        <v>3.5</v>
      </c>
      <c r="C151" s="55">
        <f t="shared" si="11"/>
        <v>3.77</v>
      </c>
      <c r="D151" s="55">
        <f t="shared" si="11"/>
        <v>4.0599999999999996</v>
      </c>
      <c r="E151" s="56">
        <f t="shared" si="11"/>
        <v>4.5599999999999996</v>
      </c>
    </row>
    <row r="152" spans="1:5" x14ac:dyDescent="0.5">
      <c r="A152" s="53">
        <f t="shared" si="10"/>
        <v>165</v>
      </c>
      <c r="B152" s="54">
        <f t="shared" si="11"/>
        <v>3.54</v>
      </c>
      <c r="C152" s="55">
        <f t="shared" si="11"/>
        <v>3.8</v>
      </c>
      <c r="D152" s="55">
        <f t="shared" si="11"/>
        <v>4.0999999999999996</v>
      </c>
      <c r="E152" s="56">
        <f t="shared" si="11"/>
        <v>4.5999999999999996</v>
      </c>
    </row>
    <row r="153" spans="1:5" x14ac:dyDescent="0.5">
      <c r="A153" s="53">
        <f t="shared" si="10"/>
        <v>166</v>
      </c>
      <c r="B153" s="54">
        <f t="shared" si="11"/>
        <v>3.58</v>
      </c>
      <c r="C153" s="55">
        <f t="shared" si="11"/>
        <v>3.84</v>
      </c>
      <c r="D153" s="55">
        <f t="shared" si="11"/>
        <v>4.1399999999999997</v>
      </c>
      <c r="E153" s="56">
        <f t="shared" si="11"/>
        <v>4.6399999999999997</v>
      </c>
    </row>
    <row r="154" spans="1:5" x14ac:dyDescent="0.5">
      <c r="A154" s="53">
        <f t="shared" si="10"/>
        <v>167</v>
      </c>
      <c r="B154" s="54">
        <f t="shared" si="11"/>
        <v>3.62</v>
      </c>
      <c r="C154" s="55">
        <f t="shared" si="11"/>
        <v>3.88</v>
      </c>
      <c r="D154" s="55">
        <f t="shared" si="11"/>
        <v>4.18</v>
      </c>
      <c r="E154" s="56">
        <f t="shared" si="11"/>
        <v>4.6900000000000004</v>
      </c>
    </row>
    <row r="155" spans="1:5" x14ac:dyDescent="0.5">
      <c r="A155" s="53">
        <f t="shared" si="10"/>
        <v>168</v>
      </c>
      <c r="B155" s="54">
        <f t="shared" si="11"/>
        <v>3.66</v>
      </c>
      <c r="C155" s="55">
        <f t="shared" si="11"/>
        <v>3.93</v>
      </c>
      <c r="D155" s="55">
        <f t="shared" si="11"/>
        <v>4.22</v>
      </c>
      <c r="E155" s="56">
        <f t="shared" si="11"/>
        <v>4.7300000000000004</v>
      </c>
    </row>
    <row r="156" spans="1:5" x14ac:dyDescent="0.5">
      <c r="A156" s="53">
        <f t="shared" si="10"/>
        <v>169</v>
      </c>
      <c r="B156" s="54">
        <f t="shared" si="11"/>
        <v>3.7</v>
      </c>
      <c r="C156" s="55">
        <f t="shared" si="11"/>
        <v>3.97</v>
      </c>
      <c r="D156" s="55">
        <f t="shared" si="11"/>
        <v>4.26</v>
      </c>
      <c r="E156" s="56">
        <f t="shared" si="11"/>
        <v>4.78</v>
      </c>
    </row>
    <row r="157" spans="1:5" x14ac:dyDescent="0.5">
      <c r="A157" s="53">
        <f t="shared" si="10"/>
        <v>170</v>
      </c>
      <c r="B157" s="54">
        <f t="shared" si="11"/>
        <v>3.74</v>
      </c>
      <c r="C157" s="55">
        <f t="shared" si="11"/>
        <v>4.01</v>
      </c>
      <c r="D157" s="55">
        <f t="shared" si="11"/>
        <v>4.3</v>
      </c>
      <c r="E157" s="56">
        <f t="shared" si="11"/>
        <v>4.82</v>
      </c>
    </row>
    <row r="158" spans="1:5" x14ac:dyDescent="0.5">
      <c r="A158" s="53">
        <f t="shared" si="10"/>
        <v>171</v>
      </c>
      <c r="B158" s="54">
        <f t="shared" si="11"/>
        <v>3.78</v>
      </c>
      <c r="C158" s="55">
        <f t="shared" si="11"/>
        <v>4.05</v>
      </c>
      <c r="D158" s="55">
        <f t="shared" si="11"/>
        <v>4.3499999999999996</v>
      </c>
      <c r="E158" s="56">
        <f t="shared" si="11"/>
        <v>4.87</v>
      </c>
    </row>
    <row r="159" spans="1:5" x14ac:dyDescent="0.5">
      <c r="A159" s="53">
        <f t="shared" si="10"/>
        <v>172</v>
      </c>
      <c r="B159" s="54">
        <f t="shared" si="11"/>
        <v>3.82</v>
      </c>
      <c r="C159" s="55">
        <f t="shared" si="11"/>
        <v>4.09</v>
      </c>
      <c r="D159" s="55">
        <f t="shared" si="11"/>
        <v>4.3899999999999997</v>
      </c>
      <c r="E159" s="56">
        <f t="shared" si="11"/>
        <v>4.91</v>
      </c>
    </row>
    <row r="160" spans="1:5" x14ac:dyDescent="0.5">
      <c r="A160" s="53">
        <f t="shared" si="10"/>
        <v>173</v>
      </c>
      <c r="B160" s="54">
        <f t="shared" si="11"/>
        <v>3.86</v>
      </c>
      <c r="C160" s="55">
        <f t="shared" si="11"/>
        <v>4.13</v>
      </c>
      <c r="D160" s="55">
        <f t="shared" si="11"/>
        <v>4.43</v>
      </c>
      <c r="E160" s="56">
        <f t="shared" si="11"/>
        <v>4.96</v>
      </c>
    </row>
    <row r="161" spans="1:5" x14ac:dyDescent="0.5">
      <c r="A161" s="53">
        <f t="shared" si="10"/>
        <v>174</v>
      </c>
      <c r="B161" s="54">
        <f t="shared" si="11"/>
        <v>3.9</v>
      </c>
      <c r="C161" s="55">
        <f t="shared" si="11"/>
        <v>4.17</v>
      </c>
      <c r="D161" s="55">
        <f t="shared" si="11"/>
        <v>4.4800000000000004</v>
      </c>
      <c r="E161" s="56">
        <f t="shared" si="11"/>
        <v>5</v>
      </c>
    </row>
    <row r="162" spans="1:5" x14ac:dyDescent="0.5">
      <c r="A162" s="53">
        <f t="shared" si="10"/>
        <v>175</v>
      </c>
      <c r="B162" s="54">
        <f t="shared" si="11"/>
        <v>3.94</v>
      </c>
      <c r="C162" s="55">
        <f t="shared" si="11"/>
        <v>4.21</v>
      </c>
      <c r="D162" s="55">
        <f t="shared" si="11"/>
        <v>4.5199999999999996</v>
      </c>
      <c r="E162" s="56">
        <f t="shared" si="11"/>
        <v>5.05</v>
      </c>
    </row>
    <row r="163" spans="1:5" x14ac:dyDescent="0.5">
      <c r="A163" s="53">
        <f t="shared" si="10"/>
        <v>176</v>
      </c>
      <c r="B163" s="54">
        <f t="shared" si="11"/>
        <v>3.98</v>
      </c>
      <c r="C163" s="55">
        <f t="shared" si="11"/>
        <v>4.26</v>
      </c>
      <c r="D163" s="55">
        <f t="shared" si="11"/>
        <v>4.5599999999999996</v>
      </c>
      <c r="E163" s="56">
        <f t="shared" si="11"/>
        <v>5.0999999999999996</v>
      </c>
    </row>
    <row r="164" spans="1:5" x14ac:dyDescent="0.5">
      <c r="A164" s="53">
        <f t="shared" si="10"/>
        <v>177</v>
      </c>
      <c r="B164" s="54">
        <f t="shared" si="11"/>
        <v>4.0199999999999996</v>
      </c>
      <c r="C164" s="55">
        <f t="shared" si="11"/>
        <v>4.3</v>
      </c>
      <c r="D164" s="55">
        <f t="shared" si="11"/>
        <v>4.6100000000000003</v>
      </c>
      <c r="E164" s="56">
        <f t="shared" si="11"/>
        <v>5.14</v>
      </c>
    </row>
    <row r="165" spans="1:5" x14ac:dyDescent="0.5">
      <c r="A165" s="53">
        <f t="shared" si="10"/>
        <v>178</v>
      </c>
      <c r="B165" s="54">
        <f t="shared" si="11"/>
        <v>4.0599999999999996</v>
      </c>
      <c r="C165" s="55">
        <f t="shared" si="11"/>
        <v>4.34</v>
      </c>
      <c r="D165" s="55">
        <f t="shared" si="11"/>
        <v>4.6500000000000004</v>
      </c>
      <c r="E165" s="56">
        <f t="shared" si="11"/>
        <v>5.19</v>
      </c>
    </row>
    <row r="166" spans="1:5" x14ac:dyDescent="0.5">
      <c r="A166" s="53">
        <f t="shared" si="10"/>
        <v>179</v>
      </c>
      <c r="B166" s="54">
        <f t="shared" si="11"/>
        <v>4.1100000000000003</v>
      </c>
      <c r="C166" s="55">
        <f t="shared" si="11"/>
        <v>4.38</v>
      </c>
      <c r="D166" s="55">
        <f t="shared" si="11"/>
        <v>4.7</v>
      </c>
      <c r="E166" s="56">
        <f t="shared" si="11"/>
        <v>5.24</v>
      </c>
    </row>
    <row r="167" spans="1:5" x14ac:dyDescent="0.5">
      <c r="A167" s="53">
        <f t="shared" si="10"/>
        <v>180</v>
      </c>
      <c r="B167" s="54">
        <f t="shared" si="11"/>
        <v>4.1500000000000004</v>
      </c>
      <c r="C167" s="55">
        <f t="shared" si="11"/>
        <v>4.43</v>
      </c>
      <c r="D167" s="55">
        <f t="shared" si="11"/>
        <v>4.74</v>
      </c>
      <c r="E167" s="56">
        <f t="shared" si="11"/>
        <v>5.28</v>
      </c>
    </row>
    <row r="168" spans="1:5" x14ac:dyDescent="0.5">
      <c r="A168" s="53">
        <f t="shared" si="10"/>
        <v>181</v>
      </c>
      <c r="B168" s="54">
        <f t="shared" ref="B168:E187" si="12">ROUND(   0.5*(1+B$6*(($A168/(PI()*(210000/B$4)^0.5))-0.2)+($A168/(PI()*(210000/B$4)^0.5))^2)
+((0.5*(1+B$6*(($A168/(PI()*(210000/B$4)^0.5))-0.2)+($A168/(PI()*(210000/B$4)^0.5))^2))^2
-($A168/(PI()*(210000/B$4)^0.5))^2)^0.5,2)</f>
        <v>4.1900000000000004</v>
      </c>
      <c r="C168" s="55">
        <f t="shared" si="12"/>
        <v>4.47</v>
      </c>
      <c r="D168" s="55">
        <f t="shared" si="12"/>
        <v>4.78</v>
      </c>
      <c r="E168" s="56">
        <f t="shared" si="12"/>
        <v>5.33</v>
      </c>
    </row>
    <row r="169" spans="1:5" x14ac:dyDescent="0.5">
      <c r="A169" s="53">
        <f t="shared" si="10"/>
        <v>182</v>
      </c>
      <c r="B169" s="54">
        <f t="shared" si="12"/>
        <v>4.2300000000000004</v>
      </c>
      <c r="C169" s="55">
        <f t="shared" si="12"/>
        <v>4.51</v>
      </c>
      <c r="D169" s="55">
        <f t="shared" si="12"/>
        <v>4.83</v>
      </c>
      <c r="E169" s="56">
        <f t="shared" si="12"/>
        <v>5.38</v>
      </c>
    </row>
    <row r="170" spans="1:5" x14ac:dyDescent="0.5">
      <c r="A170" s="53">
        <f t="shared" si="10"/>
        <v>183</v>
      </c>
      <c r="B170" s="54">
        <f t="shared" si="12"/>
        <v>4.28</v>
      </c>
      <c r="C170" s="55">
        <f t="shared" si="12"/>
        <v>4.5599999999999996</v>
      </c>
      <c r="D170" s="55">
        <f t="shared" si="12"/>
        <v>4.88</v>
      </c>
      <c r="E170" s="56">
        <f t="shared" si="12"/>
        <v>5.43</v>
      </c>
    </row>
    <row r="171" spans="1:5" x14ac:dyDescent="0.5">
      <c r="A171" s="53">
        <f t="shared" si="10"/>
        <v>184</v>
      </c>
      <c r="B171" s="54">
        <f t="shared" si="12"/>
        <v>4.32</v>
      </c>
      <c r="C171" s="55">
        <f t="shared" si="12"/>
        <v>4.5999999999999996</v>
      </c>
      <c r="D171" s="55">
        <f t="shared" si="12"/>
        <v>4.92</v>
      </c>
      <c r="E171" s="56">
        <f t="shared" si="12"/>
        <v>5.47</v>
      </c>
    </row>
    <row r="172" spans="1:5" x14ac:dyDescent="0.5">
      <c r="A172" s="53">
        <f t="shared" si="10"/>
        <v>185</v>
      </c>
      <c r="B172" s="54">
        <f t="shared" si="12"/>
        <v>4.3600000000000003</v>
      </c>
      <c r="C172" s="55">
        <f t="shared" si="12"/>
        <v>4.6500000000000004</v>
      </c>
      <c r="D172" s="55">
        <f t="shared" si="12"/>
        <v>4.97</v>
      </c>
      <c r="E172" s="56">
        <f t="shared" si="12"/>
        <v>5.52</v>
      </c>
    </row>
    <row r="173" spans="1:5" x14ac:dyDescent="0.5">
      <c r="A173" s="53">
        <f t="shared" si="10"/>
        <v>186</v>
      </c>
      <c r="B173" s="54">
        <f t="shared" si="12"/>
        <v>4.41</v>
      </c>
      <c r="C173" s="55">
        <f t="shared" si="12"/>
        <v>4.6900000000000004</v>
      </c>
      <c r="D173" s="55">
        <f t="shared" si="12"/>
        <v>5.01</v>
      </c>
      <c r="E173" s="56">
        <f t="shared" si="12"/>
        <v>5.57</v>
      </c>
    </row>
    <row r="174" spans="1:5" x14ac:dyDescent="0.5">
      <c r="A174" s="53">
        <f t="shared" si="10"/>
        <v>187</v>
      </c>
      <c r="B174" s="54">
        <f t="shared" si="12"/>
        <v>4.45</v>
      </c>
      <c r="C174" s="55">
        <f t="shared" si="12"/>
        <v>4.74</v>
      </c>
      <c r="D174" s="55">
        <f t="shared" si="12"/>
        <v>5.0599999999999996</v>
      </c>
      <c r="E174" s="56">
        <f t="shared" si="12"/>
        <v>5.62</v>
      </c>
    </row>
    <row r="175" spans="1:5" x14ac:dyDescent="0.5">
      <c r="A175" s="53">
        <f t="shared" si="10"/>
        <v>188</v>
      </c>
      <c r="B175" s="54">
        <f t="shared" si="12"/>
        <v>4.49</v>
      </c>
      <c r="C175" s="55">
        <f t="shared" si="12"/>
        <v>4.78</v>
      </c>
      <c r="D175" s="55">
        <f t="shared" si="12"/>
        <v>5.1100000000000003</v>
      </c>
      <c r="E175" s="56">
        <f t="shared" si="12"/>
        <v>5.67</v>
      </c>
    </row>
    <row r="176" spans="1:5" x14ac:dyDescent="0.5">
      <c r="A176" s="53">
        <f t="shared" si="10"/>
        <v>189</v>
      </c>
      <c r="B176" s="54">
        <f t="shared" si="12"/>
        <v>4.54</v>
      </c>
      <c r="C176" s="55">
        <f t="shared" si="12"/>
        <v>4.83</v>
      </c>
      <c r="D176" s="55">
        <f t="shared" si="12"/>
        <v>5.15</v>
      </c>
      <c r="E176" s="56">
        <f t="shared" si="12"/>
        <v>5.72</v>
      </c>
    </row>
    <row r="177" spans="1:5" x14ac:dyDescent="0.5">
      <c r="A177" s="53">
        <f t="shared" si="10"/>
        <v>190</v>
      </c>
      <c r="B177" s="54">
        <f t="shared" si="12"/>
        <v>4.58</v>
      </c>
      <c r="C177" s="55">
        <f t="shared" si="12"/>
        <v>4.87</v>
      </c>
      <c r="D177" s="55">
        <f t="shared" si="12"/>
        <v>5.2</v>
      </c>
      <c r="E177" s="56">
        <f t="shared" si="12"/>
        <v>5.77</v>
      </c>
    </row>
    <row r="178" spans="1:5" x14ac:dyDescent="0.5">
      <c r="A178" s="53">
        <f t="shared" si="10"/>
        <v>191</v>
      </c>
      <c r="B178" s="54">
        <f t="shared" si="12"/>
        <v>4.63</v>
      </c>
      <c r="C178" s="55">
        <f t="shared" si="12"/>
        <v>4.92</v>
      </c>
      <c r="D178" s="55">
        <f t="shared" si="12"/>
        <v>5.25</v>
      </c>
      <c r="E178" s="56">
        <f t="shared" si="12"/>
        <v>5.82</v>
      </c>
    </row>
    <row r="179" spans="1:5" x14ac:dyDescent="0.5">
      <c r="A179" s="53">
        <f t="shared" si="10"/>
        <v>192</v>
      </c>
      <c r="B179" s="54">
        <f t="shared" si="12"/>
        <v>4.67</v>
      </c>
      <c r="C179" s="55">
        <f t="shared" si="12"/>
        <v>4.97</v>
      </c>
      <c r="D179" s="55">
        <f t="shared" si="12"/>
        <v>5.29</v>
      </c>
      <c r="E179" s="56">
        <f t="shared" si="12"/>
        <v>5.87</v>
      </c>
    </row>
    <row r="180" spans="1:5" x14ac:dyDescent="0.5">
      <c r="A180" s="53">
        <f t="shared" si="10"/>
        <v>193</v>
      </c>
      <c r="B180" s="54">
        <f t="shared" si="12"/>
        <v>4.72</v>
      </c>
      <c r="C180" s="55">
        <f t="shared" si="12"/>
        <v>5.01</v>
      </c>
      <c r="D180" s="55">
        <f t="shared" si="12"/>
        <v>5.34</v>
      </c>
      <c r="E180" s="56">
        <f t="shared" si="12"/>
        <v>5.92</v>
      </c>
    </row>
    <row r="181" spans="1:5" x14ac:dyDescent="0.5">
      <c r="A181" s="53">
        <f t="shared" si="10"/>
        <v>194</v>
      </c>
      <c r="B181" s="54">
        <f t="shared" si="12"/>
        <v>4.76</v>
      </c>
      <c r="C181" s="55">
        <f t="shared" si="12"/>
        <v>5.0599999999999996</v>
      </c>
      <c r="D181" s="55">
        <f t="shared" si="12"/>
        <v>5.39</v>
      </c>
      <c r="E181" s="56">
        <f t="shared" si="12"/>
        <v>5.97</v>
      </c>
    </row>
    <row r="182" spans="1:5" x14ac:dyDescent="0.5">
      <c r="A182" s="53">
        <f t="shared" si="10"/>
        <v>195</v>
      </c>
      <c r="B182" s="54">
        <f t="shared" si="12"/>
        <v>4.8099999999999996</v>
      </c>
      <c r="C182" s="55">
        <f t="shared" si="12"/>
        <v>5.0999999999999996</v>
      </c>
      <c r="D182" s="55">
        <f t="shared" si="12"/>
        <v>5.44</v>
      </c>
      <c r="E182" s="56">
        <f t="shared" si="12"/>
        <v>6.02</v>
      </c>
    </row>
    <row r="183" spans="1:5" x14ac:dyDescent="0.5">
      <c r="A183" s="53">
        <f t="shared" si="10"/>
        <v>196</v>
      </c>
      <c r="B183" s="54">
        <f t="shared" si="12"/>
        <v>4.8499999999999996</v>
      </c>
      <c r="C183" s="55">
        <f t="shared" si="12"/>
        <v>5.15</v>
      </c>
      <c r="D183" s="55">
        <f t="shared" si="12"/>
        <v>5.49</v>
      </c>
      <c r="E183" s="56">
        <f t="shared" si="12"/>
        <v>6.07</v>
      </c>
    </row>
    <row r="184" spans="1:5" x14ac:dyDescent="0.5">
      <c r="A184" s="53">
        <f t="shared" si="10"/>
        <v>197</v>
      </c>
      <c r="B184" s="54">
        <f t="shared" si="12"/>
        <v>4.9000000000000004</v>
      </c>
      <c r="C184" s="55">
        <f t="shared" si="12"/>
        <v>5.2</v>
      </c>
      <c r="D184" s="55">
        <f t="shared" si="12"/>
        <v>5.54</v>
      </c>
      <c r="E184" s="56">
        <f t="shared" si="12"/>
        <v>6.12</v>
      </c>
    </row>
    <row r="185" spans="1:5" x14ac:dyDescent="0.5">
      <c r="A185" s="53">
        <f t="shared" si="10"/>
        <v>198</v>
      </c>
      <c r="B185" s="54">
        <f t="shared" si="12"/>
        <v>4.95</v>
      </c>
      <c r="C185" s="55">
        <f t="shared" si="12"/>
        <v>5.25</v>
      </c>
      <c r="D185" s="55">
        <f t="shared" si="12"/>
        <v>5.58</v>
      </c>
      <c r="E185" s="56">
        <f t="shared" si="12"/>
        <v>6.18</v>
      </c>
    </row>
    <row r="186" spans="1:5" x14ac:dyDescent="0.5">
      <c r="A186" s="53">
        <f t="shared" si="10"/>
        <v>199</v>
      </c>
      <c r="B186" s="54">
        <f t="shared" si="12"/>
        <v>4.99</v>
      </c>
      <c r="C186" s="55">
        <f t="shared" si="12"/>
        <v>5.29</v>
      </c>
      <c r="D186" s="55">
        <f t="shared" si="12"/>
        <v>5.63</v>
      </c>
      <c r="E186" s="56">
        <f t="shared" si="12"/>
        <v>6.23</v>
      </c>
    </row>
    <row r="187" spans="1:5" x14ac:dyDescent="0.5">
      <c r="A187" s="53">
        <f t="shared" si="10"/>
        <v>200</v>
      </c>
      <c r="B187" s="54">
        <f t="shared" si="12"/>
        <v>5.04</v>
      </c>
      <c r="C187" s="55">
        <f t="shared" si="12"/>
        <v>5.34</v>
      </c>
      <c r="D187" s="55">
        <f t="shared" si="12"/>
        <v>5.68</v>
      </c>
      <c r="E187" s="56">
        <f t="shared" si="12"/>
        <v>6.28</v>
      </c>
    </row>
    <row r="188" spans="1:5" x14ac:dyDescent="0.5">
      <c r="A188" s="53">
        <f t="shared" si="10"/>
        <v>201</v>
      </c>
      <c r="B188" s="54">
        <f t="shared" ref="B188:E207" si="13">ROUND(   0.5*(1+B$6*(($A188/(PI()*(210000/B$4)^0.5))-0.2)+($A188/(PI()*(210000/B$4)^0.5))^2)
+((0.5*(1+B$6*(($A188/(PI()*(210000/B$4)^0.5))-0.2)+($A188/(PI()*(210000/B$4)^0.5))^2))^2
-($A188/(PI()*(210000/B$4)^0.5))^2)^0.5,2)</f>
        <v>5.09</v>
      </c>
      <c r="C188" s="55">
        <f t="shared" si="13"/>
        <v>5.39</v>
      </c>
      <c r="D188" s="55">
        <f t="shared" si="13"/>
        <v>5.73</v>
      </c>
      <c r="E188" s="56">
        <f t="shared" si="13"/>
        <v>6.33</v>
      </c>
    </row>
    <row r="189" spans="1:5" x14ac:dyDescent="0.5">
      <c r="A189" s="53">
        <f t="shared" si="10"/>
        <v>202</v>
      </c>
      <c r="B189" s="54">
        <f t="shared" si="13"/>
        <v>5.14</v>
      </c>
      <c r="C189" s="55">
        <f t="shared" si="13"/>
        <v>5.44</v>
      </c>
      <c r="D189" s="55">
        <f t="shared" si="13"/>
        <v>5.78</v>
      </c>
      <c r="E189" s="56">
        <f t="shared" si="13"/>
        <v>6.38</v>
      </c>
    </row>
    <row r="190" spans="1:5" x14ac:dyDescent="0.5">
      <c r="A190" s="53">
        <f t="shared" si="10"/>
        <v>203</v>
      </c>
      <c r="B190" s="54">
        <f t="shared" si="13"/>
        <v>5.18</v>
      </c>
      <c r="C190" s="55">
        <f t="shared" si="13"/>
        <v>5.49</v>
      </c>
      <c r="D190" s="55">
        <f t="shared" si="13"/>
        <v>5.83</v>
      </c>
      <c r="E190" s="56">
        <f t="shared" si="13"/>
        <v>6.44</v>
      </c>
    </row>
    <row r="191" spans="1:5" x14ac:dyDescent="0.5">
      <c r="A191" s="53">
        <f t="shared" si="10"/>
        <v>204</v>
      </c>
      <c r="B191" s="54">
        <f t="shared" si="13"/>
        <v>5.23</v>
      </c>
      <c r="C191" s="55">
        <f t="shared" si="13"/>
        <v>5.54</v>
      </c>
      <c r="D191" s="55">
        <f t="shared" si="13"/>
        <v>5.88</v>
      </c>
      <c r="E191" s="56">
        <f t="shared" si="13"/>
        <v>6.49</v>
      </c>
    </row>
    <row r="192" spans="1:5" x14ac:dyDescent="0.5">
      <c r="A192" s="53">
        <f t="shared" si="10"/>
        <v>205</v>
      </c>
      <c r="B192" s="54">
        <f t="shared" si="13"/>
        <v>5.28</v>
      </c>
      <c r="C192" s="55">
        <f t="shared" si="13"/>
        <v>5.59</v>
      </c>
      <c r="D192" s="55">
        <f t="shared" si="13"/>
        <v>5.93</v>
      </c>
      <c r="E192" s="56">
        <f t="shared" si="13"/>
        <v>6.54</v>
      </c>
    </row>
    <row r="193" spans="1:5" x14ac:dyDescent="0.5">
      <c r="A193" s="53">
        <f t="shared" si="10"/>
        <v>206</v>
      </c>
      <c r="B193" s="54">
        <f t="shared" si="13"/>
        <v>5.33</v>
      </c>
      <c r="C193" s="55">
        <f t="shared" si="13"/>
        <v>5.64</v>
      </c>
      <c r="D193" s="55">
        <f t="shared" si="13"/>
        <v>5.98</v>
      </c>
      <c r="E193" s="56">
        <f t="shared" si="13"/>
        <v>6.6</v>
      </c>
    </row>
    <row r="194" spans="1:5" x14ac:dyDescent="0.5">
      <c r="A194" s="53">
        <f t="shared" si="10"/>
        <v>207</v>
      </c>
      <c r="B194" s="54">
        <f t="shared" si="13"/>
        <v>5.38</v>
      </c>
      <c r="C194" s="55">
        <f t="shared" si="13"/>
        <v>5.69</v>
      </c>
      <c r="D194" s="55">
        <f t="shared" si="13"/>
        <v>6.04</v>
      </c>
      <c r="E194" s="56">
        <f t="shared" si="13"/>
        <v>6.65</v>
      </c>
    </row>
    <row r="195" spans="1:5" x14ac:dyDescent="0.5">
      <c r="A195" s="53">
        <f t="shared" si="10"/>
        <v>208</v>
      </c>
      <c r="B195" s="54">
        <f t="shared" si="13"/>
        <v>5.42</v>
      </c>
      <c r="C195" s="55">
        <f t="shared" si="13"/>
        <v>5.74</v>
      </c>
      <c r="D195" s="55">
        <f t="shared" si="13"/>
        <v>6.09</v>
      </c>
      <c r="E195" s="56">
        <f t="shared" si="13"/>
        <v>6.71</v>
      </c>
    </row>
    <row r="196" spans="1:5" x14ac:dyDescent="0.5">
      <c r="A196" s="53">
        <f t="shared" si="10"/>
        <v>209</v>
      </c>
      <c r="B196" s="54">
        <f t="shared" si="13"/>
        <v>5.47</v>
      </c>
      <c r="C196" s="55">
        <f t="shared" si="13"/>
        <v>5.79</v>
      </c>
      <c r="D196" s="55">
        <f t="shared" si="13"/>
        <v>6.14</v>
      </c>
      <c r="E196" s="56">
        <f t="shared" si="13"/>
        <v>6.76</v>
      </c>
    </row>
    <row r="197" spans="1:5" x14ac:dyDescent="0.5">
      <c r="A197" s="53">
        <f t="shared" si="10"/>
        <v>210</v>
      </c>
      <c r="B197" s="54">
        <f t="shared" si="13"/>
        <v>5.52</v>
      </c>
      <c r="C197" s="55">
        <f t="shared" si="13"/>
        <v>5.84</v>
      </c>
      <c r="D197" s="55">
        <f t="shared" si="13"/>
        <v>6.19</v>
      </c>
      <c r="E197" s="56">
        <f t="shared" si="13"/>
        <v>6.81</v>
      </c>
    </row>
    <row r="198" spans="1:5" x14ac:dyDescent="0.5">
      <c r="A198" s="53">
        <f t="shared" si="10"/>
        <v>211</v>
      </c>
      <c r="B198" s="54">
        <f t="shared" si="13"/>
        <v>5.57</v>
      </c>
      <c r="C198" s="55">
        <f t="shared" si="13"/>
        <v>5.89</v>
      </c>
      <c r="D198" s="55">
        <f t="shared" si="13"/>
        <v>6.24</v>
      </c>
      <c r="E198" s="56">
        <f t="shared" si="13"/>
        <v>6.87</v>
      </c>
    </row>
    <row r="199" spans="1:5" x14ac:dyDescent="0.5">
      <c r="A199" s="53">
        <f t="shared" si="10"/>
        <v>212</v>
      </c>
      <c r="B199" s="54">
        <f t="shared" si="13"/>
        <v>5.62</v>
      </c>
      <c r="C199" s="55">
        <f t="shared" si="13"/>
        <v>5.94</v>
      </c>
      <c r="D199" s="55">
        <f t="shared" si="13"/>
        <v>6.29</v>
      </c>
      <c r="E199" s="56">
        <f t="shared" si="13"/>
        <v>6.92</v>
      </c>
    </row>
    <row r="200" spans="1:5" x14ac:dyDescent="0.5">
      <c r="A200" s="53">
        <f t="shared" ref="A200:A237" si="14">ROW()+13</f>
        <v>213</v>
      </c>
      <c r="B200" s="54">
        <f t="shared" si="13"/>
        <v>5.67</v>
      </c>
      <c r="C200" s="55">
        <f t="shared" si="13"/>
        <v>5.99</v>
      </c>
      <c r="D200" s="55">
        <f t="shared" si="13"/>
        <v>6.35</v>
      </c>
      <c r="E200" s="56">
        <f t="shared" si="13"/>
        <v>6.98</v>
      </c>
    </row>
    <row r="201" spans="1:5" x14ac:dyDescent="0.5">
      <c r="A201" s="53">
        <f t="shared" si="14"/>
        <v>214</v>
      </c>
      <c r="B201" s="54">
        <f t="shared" si="13"/>
        <v>5.72</v>
      </c>
      <c r="C201" s="55">
        <f t="shared" si="13"/>
        <v>6.04</v>
      </c>
      <c r="D201" s="55">
        <f t="shared" si="13"/>
        <v>6.4</v>
      </c>
      <c r="E201" s="56">
        <f t="shared" si="13"/>
        <v>7.03</v>
      </c>
    </row>
    <row r="202" spans="1:5" x14ac:dyDescent="0.5">
      <c r="A202" s="53">
        <f t="shared" si="14"/>
        <v>215</v>
      </c>
      <c r="B202" s="54">
        <f t="shared" si="13"/>
        <v>5.77</v>
      </c>
      <c r="C202" s="55">
        <f t="shared" si="13"/>
        <v>6.09</v>
      </c>
      <c r="D202" s="55">
        <f t="shared" si="13"/>
        <v>6.45</v>
      </c>
      <c r="E202" s="56">
        <f t="shared" si="13"/>
        <v>7.09</v>
      </c>
    </row>
    <row r="203" spans="1:5" x14ac:dyDescent="0.5">
      <c r="A203" s="53">
        <f t="shared" si="14"/>
        <v>216</v>
      </c>
      <c r="B203" s="54">
        <f t="shared" si="13"/>
        <v>5.82</v>
      </c>
      <c r="C203" s="55">
        <f t="shared" si="13"/>
        <v>6.14</v>
      </c>
      <c r="D203" s="55">
        <f t="shared" si="13"/>
        <v>6.51</v>
      </c>
      <c r="E203" s="56">
        <f t="shared" si="13"/>
        <v>7.15</v>
      </c>
    </row>
    <row r="204" spans="1:5" x14ac:dyDescent="0.5">
      <c r="A204" s="53">
        <f t="shared" si="14"/>
        <v>217</v>
      </c>
      <c r="B204" s="54">
        <f t="shared" si="13"/>
        <v>5.87</v>
      </c>
      <c r="C204" s="55">
        <f t="shared" si="13"/>
        <v>6.19</v>
      </c>
      <c r="D204" s="55">
        <f t="shared" si="13"/>
        <v>6.56</v>
      </c>
      <c r="E204" s="56">
        <f t="shared" si="13"/>
        <v>7.2</v>
      </c>
    </row>
    <row r="205" spans="1:5" x14ac:dyDescent="0.5">
      <c r="A205" s="53">
        <f t="shared" si="14"/>
        <v>218</v>
      </c>
      <c r="B205" s="54">
        <f t="shared" si="13"/>
        <v>5.92</v>
      </c>
      <c r="C205" s="55">
        <f t="shared" si="13"/>
        <v>6.25</v>
      </c>
      <c r="D205" s="55">
        <f t="shared" si="13"/>
        <v>6.61</v>
      </c>
      <c r="E205" s="56">
        <f t="shared" si="13"/>
        <v>7.26</v>
      </c>
    </row>
    <row r="206" spans="1:5" x14ac:dyDescent="0.5">
      <c r="A206" s="53">
        <f t="shared" si="14"/>
        <v>219</v>
      </c>
      <c r="B206" s="54">
        <f t="shared" si="13"/>
        <v>5.98</v>
      </c>
      <c r="C206" s="55">
        <f t="shared" si="13"/>
        <v>6.3</v>
      </c>
      <c r="D206" s="55">
        <f t="shared" si="13"/>
        <v>6.67</v>
      </c>
      <c r="E206" s="56">
        <f t="shared" si="13"/>
        <v>7.31</v>
      </c>
    </row>
    <row r="207" spans="1:5" x14ac:dyDescent="0.5">
      <c r="A207" s="53">
        <f t="shared" si="14"/>
        <v>220</v>
      </c>
      <c r="B207" s="54">
        <f t="shared" si="13"/>
        <v>6.03</v>
      </c>
      <c r="C207" s="55">
        <f t="shared" si="13"/>
        <v>6.35</v>
      </c>
      <c r="D207" s="55">
        <f t="shared" si="13"/>
        <v>6.72</v>
      </c>
      <c r="E207" s="56">
        <f t="shared" si="13"/>
        <v>7.37</v>
      </c>
    </row>
    <row r="208" spans="1:5" x14ac:dyDescent="0.5">
      <c r="A208" s="53">
        <f t="shared" si="14"/>
        <v>221</v>
      </c>
      <c r="B208" s="54">
        <f t="shared" ref="B208:E237" si="15">ROUND(   0.5*(1+B$6*(($A208/(PI()*(210000/B$4)^0.5))-0.2)+($A208/(PI()*(210000/B$4)^0.5))^2)
+((0.5*(1+B$6*(($A208/(PI()*(210000/B$4)^0.5))-0.2)+($A208/(PI()*(210000/B$4)^0.5))^2))^2
-($A208/(PI()*(210000/B$4)^0.5))^2)^0.5,2)</f>
        <v>6.08</v>
      </c>
      <c r="C208" s="55">
        <f t="shared" si="15"/>
        <v>6.41</v>
      </c>
      <c r="D208" s="55">
        <f t="shared" si="15"/>
        <v>6.78</v>
      </c>
      <c r="E208" s="56">
        <f t="shared" si="15"/>
        <v>7.43</v>
      </c>
    </row>
    <row r="209" spans="1:5" x14ac:dyDescent="0.5">
      <c r="A209" s="53">
        <f t="shared" si="14"/>
        <v>222</v>
      </c>
      <c r="B209" s="54">
        <f t="shared" si="15"/>
        <v>6.13</v>
      </c>
      <c r="C209" s="55">
        <f t="shared" si="15"/>
        <v>6.46</v>
      </c>
      <c r="D209" s="55">
        <f t="shared" si="15"/>
        <v>6.83</v>
      </c>
      <c r="E209" s="56">
        <f t="shared" si="15"/>
        <v>7.49</v>
      </c>
    </row>
    <row r="210" spans="1:5" x14ac:dyDescent="0.5">
      <c r="A210" s="53">
        <f t="shared" si="14"/>
        <v>223</v>
      </c>
      <c r="B210" s="54">
        <f t="shared" si="15"/>
        <v>6.18</v>
      </c>
      <c r="C210" s="55">
        <f t="shared" si="15"/>
        <v>6.51</v>
      </c>
      <c r="D210" s="55">
        <f t="shared" si="15"/>
        <v>6.89</v>
      </c>
      <c r="E210" s="56">
        <f t="shared" si="15"/>
        <v>7.54</v>
      </c>
    </row>
    <row r="211" spans="1:5" x14ac:dyDescent="0.5">
      <c r="A211" s="53">
        <f t="shared" si="14"/>
        <v>224</v>
      </c>
      <c r="B211" s="54">
        <f t="shared" si="15"/>
        <v>6.24</v>
      </c>
      <c r="C211" s="55">
        <f t="shared" si="15"/>
        <v>6.57</v>
      </c>
      <c r="D211" s="55">
        <f t="shared" si="15"/>
        <v>6.94</v>
      </c>
      <c r="E211" s="56">
        <f t="shared" si="15"/>
        <v>7.6</v>
      </c>
    </row>
    <row r="212" spans="1:5" x14ac:dyDescent="0.5">
      <c r="A212" s="53">
        <f t="shared" si="14"/>
        <v>225</v>
      </c>
      <c r="B212" s="54">
        <f t="shared" si="15"/>
        <v>6.29</v>
      </c>
      <c r="C212" s="55">
        <f t="shared" si="15"/>
        <v>6.62</v>
      </c>
      <c r="D212" s="55">
        <f t="shared" si="15"/>
        <v>7</v>
      </c>
      <c r="E212" s="56">
        <f t="shared" si="15"/>
        <v>7.66</v>
      </c>
    </row>
    <row r="213" spans="1:5" x14ac:dyDescent="0.5">
      <c r="A213" s="53">
        <f t="shared" si="14"/>
        <v>226</v>
      </c>
      <c r="B213" s="54">
        <f t="shared" si="15"/>
        <v>6.34</v>
      </c>
      <c r="C213" s="55">
        <f t="shared" si="15"/>
        <v>6.67</v>
      </c>
      <c r="D213" s="55">
        <f t="shared" si="15"/>
        <v>7.05</v>
      </c>
      <c r="E213" s="56">
        <f t="shared" si="15"/>
        <v>7.72</v>
      </c>
    </row>
    <row r="214" spans="1:5" x14ac:dyDescent="0.5">
      <c r="A214" s="53">
        <f t="shared" si="14"/>
        <v>227</v>
      </c>
      <c r="B214" s="54">
        <f t="shared" si="15"/>
        <v>6.39</v>
      </c>
      <c r="C214" s="55">
        <f t="shared" si="15"/>
        <v>6.73</v>
      </c>
      <c r="D214" s="55">
        <f t="shared" si="15"/>
        <v>7.11</v>
      </c>
      <c r="E214" s="56">
        <f t="shared" si="15"/>
        <v>7.78</v>
      </c>
    </row>
    <row r="215" spans="1:5" x14ac:dyDescent="0.5">
      <c r="A215" s="53">
        <f t="shared" si="14"/>
        <v>228</v>
      </c>
      <c r="B215" s="54">
        <f t="shared" si="15"/>
        <v>6.45</v>
      </c>
      <c r="C215" s="55">
        <f t="shared" si="15"/>
        <v>6.78</v>
      </c>
      <c r="D215" s="55">
        <f t="shared" si="15"/>
        <v>7.16</v>
      </c>
      <c r="E215" s="56">
        <f t="shared" si="15"/>
        <v>7.83</v>
      </c>
    </row>
    <row r="216" spans="1:5" x14ac:dyDescent="0.5">
      <c r="A216" s="53">
        <f t="shared" si="14"/>
        <v>229</v>
      </c>
      <c r="B216" s="54">
        <f t="shared" si="15"/>
        <v>6.5</v>
      </c>
      <c r="C216" s="55">
        <f t="shared" si="15"/>
        <v>6.84</v>
      </c>
      <c r="D216" s="55">
        <f t="shared" si="15"/>
        <v>7.22</v>
      </c>
      <c r="E216" s="56">
        <f t="shared" si="15"/>
        <v>7.89</v>
      </c>
    </row>
    <row r="217" spans="1:5" x14ac:dyDescent="0.5">
      <c r="A217" s="53">
        <f t="shared" si="14"/>
        <v>230</v>
      </c>
      <c r="B217" s="54">
        <f t="shared" si="15"/>
        <v>6.56</v>
      </c>
      <c r="C217" s="55">
        <f t="shared" si="15"/>
        <v>6.89</v>
      </c>
      <c r="D217" s="55">
        <f t="shared" si="15"/>
        <v>7.28</v>
      </c>
      <c r="E217" s="56">
        <f t="shared" si="15"/>
        <v>7.95</v>
      </c>
    </row>
    <row r="218" spans="1:5" x14ac:dyDescent="0.5">
      <c r="A218" s="53">
        <f t="shared" si="14"/>
        <v>231</v>
      </c>
      <c r="B218" s="54">
        <f t="shared" si="15"/>
        <v>6.61</v>
      </c>
      <c r="C218" s="55">
        <f t="shared" si="15"/>
        <v>6.95</v>
      </c>
      <c r="D218" s="55">
        <f t="shared" si="15"/>
        <v>7.33</v>
      </c>
      <c r="E218" s="56">
        <f t="shared" si="15"/>
        <v>8.01</v>
      </c>
    </row>
    <row r="219" spans="1:5" x14ac:dyDescent="0.5">
      <c r="A219" s="53">
        <f t="shared" si="14"/>
        <v>232</v>
      </c>
      <c r="B219" s="54">
        <f t="shared" si="15"/>
        <v>6.66</v>
      </c>
      <c r="C219" s="55">
        <f t="shared" si="15"/>
        <v>7</v>
      </c>
      <c r="D219" s="55">
        <f t="shared" si="15"/>
        <v>7.39</v>
      </c>
      <c r="E219" s="56">
        <f t="shared" si="15"/>
        <v>8.07</v>
      </c>
    </row>
    <row r="220" spans="1:5" x14ac:dyDescent="0.5">
      <c r="A220" s="53">
        <f t="shared" si="14"/>
        <v>233</v>
      </c>
      <c r="B220" s="54">
        <f t="shared" si="15"/>
        <v>6.72</v>
      </c>
      <c r="C220" s="55">
        <f t="shared" si="15"/>
        <v>7.06</v>
      </c>
      <c r="D220" s="55">
        <f t="shared" si="15"/>
        <v>7.45</v>
      </c>
      <c r="E220" s="56">
        <f t="shared" si="15"/>
        <v>8.1300000000000008</v>
      </c>
    </row>
    <row r="221" spans="1:5" x14ac:dyDescent="0.5">
      <c r="A221" s="53">
        <f t="shared" si="14"/>
        <v>234</v>
      </c>
      <c r="B221" s="54">
        <f t="shared" si="15"/>
        <v>6.77</v>
      </c>
      <c r="C221" s="55">
        <f t="shared" si="15"/>
        <v>7.11</v>
      </c>
      <c r="D221" s="55">
        <f t="shared" si="15"/>
        <v>7.5</v>
      </c>
      <c r="E221" s="56">
        <f t="shared" si="15"/>
        <v>8.19</v>
      </c>
    </row>
    <row r="222" spans="1:5" x14ac:dyDescent="0.5">
      <c r="A222" s="53">
        <f t="shared" si="14"/>
        <v>235</v>
      </c>
      <c r="B222" s="54">
        <f t="shared" si="15"/>
        <v>6.83</v>
      </c>
      <c r="C222" s="55">
        <f t="shared" si="15"/>
        <v>7.17</v>
      </c>
      <c r="D222" s="55">
        <f t="shared" si="15"/>
        <v>7.56</v>
      </c>
      <c r="E222" s="56">
        <f t="shared" si="15"/>
        <v>8.25</v>
      </c>
    </row>
    <row r="223" spans="1:5" x14ac:dyDescent="0.5">
      <c r="A223" s="53">
        <f t="shared" si="14"/>
        <v>236</v>
      </c>
      <c r="B223" s="54">
        <f t="shared" si="15"/>
        <v>6.88</v>
      </c>
      <c r="C223" s="55">
        <f t="shared" si="15"/>
        <v>7.23</v>
      </c>
      <c r="D223" s="55">
        <f t="shared" si="15"/>
        <v>7.62</v>
      </c>
      <c r="E223" s="56">
        <f t="shared" si="15"/>
        <v>8.31</v>
      </c>
    </row>
    <row r="224" spans="1:5" x14ac:dyDescent="0.5">
      <c r="A224" s="53">
        <f t="shared" si="14"/>
        <v>237</v>
      </c>
      <c r="B224" s="54">
        <f t="shared" si="15"/>
        <v>6.94</v>
      </c>
      <c r="C224" s="55">
        <f t="shared" si="15"/>
        <v>7.28</v>
      </c>
      <c r="D224" s="55">
        <f t="shared" si="15"/>
        <v>7.68</v>
      </c>
      <c r="E224" s="56">
        <f t="shared" si="15"/>
        <v>8.3699999999999992</v>
      </c>
    </row>
    <row r="225" spans="1:5" x14ac:dyDescent="0.5">
      <c r="A225" s="53">
        <f t="shared" si="14"/>
        <v>238</v>
      </c>
      <c r="B225" s="54">
        <f t="shared" si="15"/>
        <v>6.99</v>
      </c>
      <c r="C225" s="55">
        <f t="shared" si="15"/>
        <v>7.34</v>
      </c>
      <c r="D225" s="55">
        <f t="shared" si="15"/>
        <v>7.74</v>
      </c>
      <c r="E225" s="56">
        <f t="shared" si="15"/>
        <v>8.44</v>
      </c>
    </row>
    <row r="226" spans="1:5" x14ac:dyDescent="0.5">
      <c r="A226" s="53">
        <f t="shared" si="14"/>
        <v>239</v>
      </c>
      <c r="B226" s="54">
        <f t="shared" si="15"/>
        <v>7.05</v>
      </c>
      <c r="C226" s="55">
        <f t="shared" si="15"/>
        <v>7.4</v>
      </c>
      <c r="D226" s="55">
        <f t="shared" si="15"/>
        <v>7.79</v>
      </c>
      <c r="E226" s="56">
        <f t="shared" si="15"/>
        <v>8.5</v>
      </c>
    </row>
    <row r="227" spans="1:5" x14ac:dyDescent="0.5">
      <c r="A227" s="53">
        <f t="shared" si="14"/>
        <v>240</v>
      </c>
      <c r="B227" s="54">
        <f t="shared" si="15"/>
        <v>7.11</v>
      </c>
      <c r="C227" s="55">
        <f t="shared" si="15"/>
        <v>7.46</v>
      </c>
      <c r="D227" s="55">
        <f t="shared" si="15"/>
        <v>7.85</v>
      </c>
      <c r="E227" s="56">
        <f t="shared" si="15"/>
        <v>8.56</v>
      </c>
    </row>
    <row r="228" spans="1:5" x14ac:dyDescent="0.5">
      <c r="A228" s="53">
        <f t="shared" si="14"/>
        <v>241</v>
      </c>
      <c r="B228" s="54">
        <f t="shared" si="15"/>
        <v>7.16</v>
      </c>
      <c r="C228" s="55">
        <f t="shared" si="15"/>
        <v>7.51</v>
      </c>
      <c r="D228" s="55">
        <f t="shared" si="15"/>
        <v>7.91</v>
      </c>
      <c r="E228" s="56">
        <f t="shared" si="15"/>
        <v>8.6199999999999992</v>
      </c>
    </row>
    <row r="229" spans="1:5" x14ac:dyDescent="0.5">
      <c r="A229" s="53">
        <f t="shared" si="14"/>
        <v>242</v>
      </c>
      <c r="B229" s="54">
        <f t="shared" si="15"/>
        <v>7.22</v>
      </c>
      <c r="C229" s="55">
        <f t="shared" si="15"/>
        <v>7.57</v>
      </c>
      <c r="D229" s="55">
        <f t="shared" si="15"/>
        <v>7.97</v>
      </c>
      <c r="E229" s="56">
        <f t="shared" si="15"/>
        <v>8.68</v>
      </c>
    </row>
    <row r="230" spans="1:5" x14ac:dyDescent="0.5">
      <c r="A230" s="53">
        <f t="shared" si="14"/>
        <v>243</v>
      </c>
      <c r="B230" s="54">
        <f t="shared" si="15"/>
        <v>7.28</v>
      </c>
      <c r="C230" s="55">
        <f t="shared" si="15"/>
        <v>7.63</v>
      </c>
      <c r="D230" s="55">
        <f t="shared" si="15"/>
        <v>8.0299999999999994</v>
      </c>
      <c r="E230" s="56">
        <f t="shared" si="15"/>
        <v>8.74</v>
      </c>
    </row>
    <row r="231" spans="1:5" x14ac:dyDescent="0.5">
      <c r="A231" s="53">
        <f t="shared" si="14"/>
        <v>244</v>
      </c>
      <c r="B231" s="54">
        <f t="shared" si="15"/>
        <v>7.33</v>
      </c>
      <c r="C231" s="55">
        <f t="shared" si="15"/>
        <v>7.69</v>
      </c>
      <c r="D231" s="55">
        <f t="shared" si="15"/>
        <v>8.09</v>
      </c>
      <c r="E231" s="56">
        <f t="shared" si="15"/>
        <v>8.81</v>
      </c>
    </row>
    <row r="232" spans="1:5" x14ac:dyDescent="0.5">
      <c r="A232" s="53">
        <f t="shared" si="14"/>
        <v>245</v>
      </c>
      <c r="B232" s="54">
        <f t="shared" si="15"/>
        <v>7.39</v>
      </c>
      <c r="C232" s="55">
        <f t="shared" si="15"/>
        <v>7.75</v>
      </c>
      <c r="D232" s="55">
        <f t="shared" si="15"/>
        <v>8.15</v>
      </c>
      <c r="E232" s="56">
        <f t="shared" si="15"/>
        <v>8.8699999999999992</v>
      </c>
    </row>
    <row r="233" spans="1:5" x14ac:dyDescent="0.5">
      <c r="A233" s="53">
        <f t="shared" si="14"/>
        <v>246</v>
      </c>
      <c r="B233" s="54">
        <f t="shared" si="15"/>
        <v>7.45</v>
      </c>
      <c r="C233" s="55">
        <f t="shared" si="15"/>
        <v>7.8</v>
      </c>
      <c r="D233" s="55">
        <f t="shared" si="15"/>
        <v>8.2100000000000009</v>
      </c>
      <c r="E233" s="56">
        <f t="shared" si="15"/>
        <v>8.93</v>
      </c>
    </row>
    <row r="234" spans="1:5" x14ac:dyDescent="0.5">
      <c r="A234" s="53">
        <f t="shared" si="14"/>
        <v>247</v>
      </c>
      <c r="B234" s="54">
        <f t="shared" si="15"/>
        <v>7.51</v>
      </c>
      <c r="C234" s="55">
        <f t="shared" si="15"/>
        <v>7.86</v>
      </c>
      <c r="D234" s="55">
        <f t="shared" si="15"/>
        <v>8.27</v>
      </c>
      <c r="E234" s="56">
        <f t="shared" si="15"/>
        <v>9</v>
      </c>
    </row>
    <row r="235" spans="1:5" x14ac:dyDescent="0.5">
      <c r="A235" s="53">
        <f t="shared" si="14"/>
        <v>248</v>
      </c>
      <c r="B235" s="54">
        <f t="shared" si="15"/>
        <v>7.56</v>
      </c>
      <c r="C235" s="55">
        <f t="shared" si="15"/>
        <v>7.92</v>
      </c>
      <c r="D235" s="55">
        <f t="shared" si="15"/>
        <v>8.33</v>
      </c>
      <c r="E235" s="56">
        <f t="shared" si="15"/>
        <v>9.06</v>
      </c>
    </row>
    <row r="236" spans="1:5" x14ac:dyDescent="0.5">
      <c r="A236" s="53">
        <f t="shared" si="14"/>
        <v>249</v>
      </c>
      <c r="B236" s="54">
        <f t="shared" si="15"/>
        <v>7.62</v>
      </c>
      <c r="C236" s="55">
        <f t="shared" si="15"/>
        <v>7.98</v>
      </c>
      <c r="D236" s="55">
        <f t="shared" si="15"/>
        <v>8.39</v>
      </c>
      <c r="E236" s="56">
        <f t="shared" si="15"/>
        <v>9.1199999999999992</v>
      </c>
    </row>
    <row r="237" spans="1:5" x14ac:dyDescent="0.5">
      <c r="A237" s="57">
        <f t="shared" si="14"/>
        <v>250</v>
      </c>
      <c r="B237" s="58">
        <f t="shared" si="15"/>
        <v>7.68</v>
      </c>
      <c r="C237" s="59">
        <f t="shared" si="15"/>
        <v>8.0399999999999991</v>
      </c>
      <c r="D237" s="59">
        <f t="shared" si="15"/>
        <v>8.4499999999999993</v>
      </c>
      <c r="E237" s="60">
        <f t="shared" si="15"/>
        <v>9.19</v>
      </c>
    </row>
    <row r="238" spans="1:5" x14ac:dyDescent="0.5"/>
  </sheetData>
  <sheetProtection algorithmName="SHA-512" hashValue="ckGN7wzsZqttzS8TM6gAB1kgMrIBgCqZ2NYSJ9/VvEd1gRlYqxVZOUJNT0LNbfgXdlZ8RV+EQqwStnJg4i7jHw==" saltValue="u6Dny6QvhrkEUH7scxQbEw==" spinCount="100000" sheet="1" objects="1" scenarios="1" selectLockedCells="1"/>
  <mergeCells count="2">
    <mergeCell ref="B1:E1"/>
    <mergeCell ref="F1:I1"/>
  </mergeCells>
  <printOptions horizontalCentered="1"/>
  <pageMargins left="0.31496062992125984" right="0.31496062992125984" top="0.74803149606299213" bottom="0.35433070866141736" header="0.31496062992125984" footer="0.31496062992125984"/>
  <pageSetup paperSize="9" orientation="portrait" horizontalDpi="1200" verticalDpi="1200" r:id="rId1"/>
  <headerFooter>
    <oddHeader>&amp;C&amp;"-,Negrita"&amp;16&amp;A&amp;R&amp;P / &amp;N</oddHead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13</vt:i4>
      </vt:variant>
    </vt:vector>
  </HeadingPairs>
  <TitlesOfParts>
    <vt:vector size="17" baseType="lpstr">
      <vt:lpstr>INSTRUCCIONES</vt:lpstr>
      <vt:lpstr>PROBLEMA</vt:lpstr>
      <vt:lpstr>DATOS FIJOS</vt:lpstr>
      <vt:lpstr>RESULTADOS - FTP</vt:lpstr>
      <vt:lpstr>INSTRUCCIONES!Área_de_impresión</vt:lpstr>
      <vt:lpstr>PROBLEMA!Área_de_impresión</vt:lpstr>
      <vt:lpstr>'RESULTADOS - FTP'!Área_de_impresión</vt:lpstr>
      <vt:lpstr>Dato_FTP</vt:lpstr>
      <vt:lpstr>Descripcion_FTP</vt:lpstr>
      <vt:lpstr>Enunciado_Pandeo_FTP</vt:lpstr>
      <vt:lpstr>Enunciado_Preguntas_FTP</vt:lpstr>
      <vt:lpstr>Imagen_FTP</vt:lpstr>
      <vt:lpstr>N_Preg_FTP</vt:lpstr>
      <vt:lpstr>Nombre_FTP</vt:lpstr>
      <vt:lpstr>Pregunta_Pandeo_FTP</vt:lpstr>
      <vt:lpstr>'Coeficiente pandeo w'!Títulos_a_imprimir</vt:lpstr>
      <vt:lpstr>PROBLEMA!Títulos_a_imprimir</vt:lpstr>
    </vt:vector>
  </TitlesOfParts>
  <Company>Universidad de Cádiz</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Problemas FTP - Cerchas Tipo 1</dc:title>
  <dc:creator>Milagros [Alazne] Huerta Gómez de Merodio</dc:creator>
  <cp:keywords>Moodle, FastTest PlugIn</cp:keywords>
  <cp:lastModifiedBy>Alazne Huerta Gómez de Merodio</cp:lastModifiedBy>
  <cp:lastPrinted>2024-10-12T19:47:49Z</cp:lastPrinted>
  <dcterms:created xsi:type="dcterms:W3CDTF">2023-06-22T15:17:01Z</dcterms:created>
  <dcterms:modified xsi:type="dcterms:W3CDTF">2025-01-23T17:36:29Z</dcterms:modified>
</cp:coreProperties>
</file>